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defaultThemeVersion="166925"/>
  <mc:AlternateContent xmlns:mc="http://schemas.openxmlformats.org/markup-compatibility/2006">
    <mc:Choice Requires="x15">
      <x15ac:absPath xmlns:x15ac="http://schemas.microsoft.com/office/spreadsheetml/2010/11/ac" url="C:\Users\thors\source\repos\Verum\VerumDatabase\DataDictionary\"/>
    </mc:Choice>
  </mc:AlternateContent>
  <xr:revisionPtr revIDLastSave="0" documentId="8_{CAFC3839-8825-4B7A-BC2E-41138F744146}" xr6:coauthVersionLast="45" xr6:coauthVersionMax="45" xr10:uidLastSave="{00000000-0000-0000-0000-000000000000}"/>
  <bookViews>
    <workbookView xWindow="1050" yWindow="-120" windowWidth="27870" windowHeight="16440" activeTab="2" xr2:uid="{44421DB1-5133-4875-B38D-8CA24476C50F}"/>
  </bookViews>
  <sheets>
    <sheet name="Overview" sheetId="4" r:id="rId1"/>
    <sheet name="Tables" sheetId="2" r:id="rId2"/>
    <sheet name="Fields" sheetId="1" r:id="rId3"/>
    <sheet name="Types" sheetId="6" r:id="rId4"/>
    <sheet name="Task Log" sheetId="3" r:id="rId5"/>
    <sheet name="Lists" sheetId="5" r:id="rId6"/>
  </sheets>
  <functionGroups builtInGroupCount="19"/>
  <definedNames>
    <definedName name="ContextBase">Overview!$C$18</definedName>
    <definedName name="DBContext">Overview!$C$17</definedName>
    <definedName name="FolderBusinessModel">Overview!$C$14</definedName>
    <definedName name="FolderEntityModel">Overview!$C$13</definedName>
    <definedName name="FolderScripts">Overview!$C$12</definedName>
    <definedName name="ListSQLTypes">SQLFieldTypes[]</definedName>
    <definedName name="Namespace">Overview!$C$19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71" i="1" l="1"/>
  <c r="H28" i="2"/>
  <c r="I28" i="2"/>
  <c r="D17" i="6" l="1"/>
  <c r="D18" i="6"/>
  <c r="D16" i="6"/>
  <c r="D15" i="6"/>
  <c r="M160" i="1"/>
  <c r="N158" i="1"/>
  <c r="M158" i="1"/>
  <c r="M159" i="1"/>
  <c r="H5" i="2"/>
  <c r="I5" i="2"/>
  <c r="N114" i="1" l="1"/>
  <c r="N102" i="1"/>
  <c r="M102" i="1"/>
  <c r="N101" i="1"/>
  <c r="M101" i="1"/>
  <c r="N100" i="1"/>
  <c r="M100" i="1"/>
  <c r="N99" i="1"/>
  <c r="M99" i="1"/>
  <c r="N98" i="1"/>
  <c r="M98" i="1"/>
  <c r="D2" i="6"/>
  <c r="D3" i="6"/>
  <c r="D4" i="6"/>
  <c r="D5" i="6"/>
  <c r="D6" i="6"/>
  <c r="D7" i="6"/>
  <c r="D8" i="6"/>
  <c r="D9" i="6"/>
  <c r="D10" i="6"/>
  <c r="D11" i="6"/>
  <c r="D12" i="6"/>
  <c r="D13" i="6"/>
  <c r="D14" i="6"/>
  <c r="H18" i="2"/>
  <c r="I18" i="2"/>
  <c r="M76" i="1"/>
  <c r="H20" i="2" l="1"/>
  <c r="I20" i="2"/>
  <c r="N170" i="1" l="1"/>
  <c r="N169" i="1"/>
  <c r="N168" i="1"/>
  <c r="N167" i="1"/>
  <c r="N166" i="1"/>
  <c r="N165" i="1"/>
  <c r="N164" i="1"/>
  <c r="N163" i="1"/>
  <c r="N162" i="1"/>
  <c r="N157" i="1"/>
  <c r="N156" i="1"/>
  <c r="N155" i="1"/>
  <c r="N154" i="1"/>
  <c r="N153" i="1"/>
  <c r="N152" i="1"/>
  <c r="N151" i="1"/>
  <c r="N150" i="1"/>
  <c r="N149" i="1"/>
  <c r="N148" i="1"/>
  <c r="N147" i="1"/>
  <c r="N146" i="1"/>
  <c r="N145" i="1"/>
  <c r="N144" i="1"/>
  <c r="N143" i="1"/>
  <c r="N142" i="1"/>
  <c r="N141" i="1"/>
  <c r="N140" i="1"/>
  <c r="N139" i="1"/>
  <c r="N138" i="1"/>
  <c r="N137" i="1"/>
  <c r="N136" i="1"/>
  <c r="N97" i="1"/>
  <c r="N96" i="1"/>
  <c r="N161" i="1"/>
  <c r="N95" i="1"/>
  <c r="N94" i="1"/>
  <c r="N93" i="1"/>
  <c r="N92" i="1"/>
  <c r="N91" i="1"/>
  <c r="N90" i="1"/>
  <c r="N89" i="1"/>
  <c r="N88" i="1"/>
  <c r="N87" i="1"/>
  <c r="N86" i="1"/>
  <c r="N85" i="1"/>
  <c r="N84" i="1"/>
  <c r="N83" i="1"/>
  <c r="N82" i="1"/>
  <c r="N81" i="1"/>
  <c r="N80" i="1"/>
  <c r="N135" i="1"/>
  <c r="N134" i="1"/>
  <c r="N133" i="1"/>
  <c r="N132" i="1"/>
  <c r="N131" i="1"/>
  <c r="N130" i="1"/>
  <c r="N129" i="1"/>
  <c r="N128" i="1"/>
  <c r="N127" i="1"/>
  <c r="N126" i="1"/>
  <c r="N125" i="1"/>
  <c r="N124" i="1"/>
  <c r="N123" i="1"/>
  <c r="N122" i="1"/>
  <c r="N121" i="1"/>
  <c r="N120" i="1"/>
  <c r="N119" i="1"/>
  <c r="N118" i="1"/>
  <c r="N117" i="1"/>
  <c r="N116" i="1"/>
  <c r="N115" i="1"/>
  <c r="N113" i="1"/>
  <c r="N112" i="1"/>
  <c r="N111" i="1"/>
  <c r="N110" i="1"/>
  <c r="N109" i="1"/>
  <c r="N108" i="1"/>
  <c r="N107" i="1"/>
  <c r="N106" i="1"/>
  <c r="N105" i="1"/>
  <c r="N104" i="1"/>
  <c r="N103" i="1"/>
  <c r="N79" i="1"/>
  <c r="N78" i="1"/>
  <c r="N77" i="1"/>
  <c r="N75" i="1"/>
  <c r="N74" i="1"/>
  <c r="N73" i="1"/>
  <c r="N72" i="1"/>
  <c r="N71"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 r="M170" i="1" l="1"/>
  <c r="M169" i="1"/>
  <c r="M168" i="1"/>
  <c r="M167" i="1"/>
  <c r="M166" i="1"/>
  <c r="M165" i="1"/>
  <c r="M164" i="1"/>
  <c r="M163" i="1"/>
  <c r="M162" i="1"/>
  <c r="M157" i="1"/>
  <c r="M156" i="1"/>
  <c r="M155" i="1"/>
  <c r="M154" i="1"/>
  <c r="M153" i="1"/>
  <c r="M152" i="1"/>
  <c r="M151" i="1"/>
  <c r="M150" i="1"/>
  <c r="M149" i="1"/>
  <c r="M148" i="1"/>
  <c r="M147" i="1"/>
  <c r="M146" i="1"/>
  <c r="M145" i="1"/>
  <c r="M144" i="1"/>
  <c r="M143" i="1"/>
  <c r="M142" i="1"/>
  <c r="M141" i="1"/>
  <c r="M140" i="1"/>
  <c r="M139" i="1"/>
  <c r="M138" i="1"/>
  <c r="M137" i="1"/>
  <c r="M136" i="1"/>
  <c r="M97" i="1"/>
  <c r="M96" i="1"/>
  <c r="M161" i="1"/>
  <c r="M95" i="1"/>
  <c r="M94" i="1"/>
  <c r="M93" i="1"/>
  <c r="M92" i="1"/>
  <c r="M91" i="1"/>
  <c r="M90" i="1"/>
  <c r="M89" i="1"/>
  <c r="M88" i="1"/>
  <c r="M87" i="1"/>
  <c r="M86" i="1"/>
  <c r="M85" i="1"/>
  <c r="M84" i="1"/>
  <c r="M83" i="1"/>
  <c r="M82" i="1"/>
  <c r="M81" i="1"/>
  <c r="M80"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79" i="1"/>
  <c r="M78" i="1"/>
  <c r="M77" i="1"/>
  <c r="M75" i="1"/>
  <c r="M74" i="1"/>
  <c r="M73" i="1"/>
  <c r="M72" i="1"/>
  <c r="M71"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H3" i="2" l="1"/>
  <c r="H2" i="2"/>
  <c r="H4" i="2"/>
  <c r="H6" i="2"/>
  <c r="H8" i="2"/>
  <c r="H7" i="2"/>
  <c r="H9" i="2"/>
  <c r="H10" i="2"/>
  <c r="H11" i="2"/>
  <c r="H12" i="2"/>
  <c r="H13" i="2"/>
  <c r="H14" i="2"/>
  <c r="H15" i="2"/>
  <c r="H16" i="2"/>
  <c r="H17" i="2"/>
  <c r="H19" i="2"/>
  <c r="H21" i="2"/>
  <c r="H22" i="2"/>
  <c r="H23" i="2"/>
  <c r="H24" i="2"/>
  <c r="H25" i="2"/>
  <c r="H26" i="2"/>
  <c r="H27" i="2"/>
  <c r="I3" i="2"/>
  <c r="I2" i="2"/>
  <c r="I4" i="2"/>
  <c r="I6" i="2"/>
  <c r="I8" i="2"/>
  <c r="I7" i="2"/>
  <c r="I9" i="2"/>
  <c r="I10" i="2"/>
  <c r="I11" i="2"/>
  <c r="I12" i="2"/>
  <c r="I13" i="2"/>
  <c r="I14" i="2"/>
  <c r="I15" i="2"/>
  <c r="I16" i="2"/>
  <c r="I17" i="2"/>
  <c r="I19" i="2"/>
  <c r="I21" i="2"/>
  <c r="I22" i="2"/>
  <c r="I23" i="2"/>
  <c r="I24" i="2"/>
  <c r="I25" i="2"/>
  <c r="I26" i="2"/>
  <c r="I27" i="2"/>
  <c r="Q38" i="1" l="1"/>
  <c r="Q161" i="1" l="1"/>
  <c r="Q92" i="1"/>
  <c r="Q85" i="1"/>
  <c r="Q164" i="1"/>
  <c r="Q163" i="1"/>
  <c r="Q145" i="1"/>
  <c r="Q144" i="1"/>
  <c r="Q96" i="1"/>
  <c r="Q94" i="1"/>
  <c r="Q89" i="1"/>
  <c r="Q88" i="1"/>
  <c r="Q83" i="1"/>
  <c r="Q81" i="1"/>
  <c r="Q80" i="1"/>
  <c r="Q118" i="1"/>
  <c r="Q117" i="1"/>
  <c r="Q116" i="1"/>
  <c r="Q115" i="1"/>
  <c r="Q114" i="1"/>
  <c r="Q113" i="1"/>
  <c r="Q111" i="1"/>
  <c r="Q110" i="1"/>
  <c r="Q109" i="1"/>
  <c r="Q107" i="1"/>
  <c r="Q105" i="1"/>
  <c r="Q104" i="1"/>
  <c r="Q103" i="1"/>
  <c r="Q77" i="1"/>
  <c r="Q72" i="1"/>
  <c r="Q71" i="1"/>
  <c r="Q70" i="1"/>
  <c r="Q69" i="1"/>
  <c r="Q63" i="1"/>
  <c r="Q62" i="1"/>
  <c r="Q57" i="1"/>
  <c r="Q56" i="1"/>
  <c r="Q47" i="1"/>
  <c r="Q42" i="1"/>
  <c r="Q41" i="1"/>
  <c r="Q40" i="1"/>
  <c r="Q28" i="1"/>
  <c r="Q26" i="1"/>
  <c r="Q25" i="1"/>
  <c r="Q24" i="1"/>
  <c r="Q23" i="1"/>
  <c r="Q19" i="1"/>
  <c r="Q13" i="1"/>
  <c r="Q10" i="1"/>
  <c r="Q4" i="1"/>
  <c r="Q3" i="1"/>
</calcChain>
</file>

<file path=xl/sharedStrings.xml><?xml version="1.0" encoding="utf-8"?>
<sst xmlns="http://schemas.openxmlformats.org/spreadsheetml/2006/main" count="1530" uniqueCount="559">
  <si>
    <t>Object Name</t>
  </si>
  <si>
    <t>Column Name</t>
  </si>
  <si>
    <t>Nullable</t>
  </si>
  <si>
    <t>Description</t>
  </si>
  <si>
    <t>int</t>
  </si>
  <si>
    <t>idClient</t>
  </si>
  <si>
    <t>bit</t>
  </si>
  <si>
    <t>tPlanElement</t>
  </si>
  <si>
    <t>tClient</t>
  </si>
  <si>
    <t>tCostCenter</t>
  </si>
  <si>
    <t>Reference to the data client (Mandant)</t>
  </si>
  <si>
    <t>Reference to the cost/profit center</t>
  </si>
  <si>
    <t>Reference to type of planning element (transaction, staff, booking, contingency)</t>
  </si>
  <si>
    <t>Default Value</t>
  </si>
  <si>
    <t>Flag is set once the element is first applied to the baseline plan. The main data of a plan element cannot be changed afterwards</t>
  </si>
  <si>
    <t>tPlanElementType</t>
  </si>
  <si>
    <t>Long Integer</t>
  </si>
  <si>
    <t>Datum mit Uhrzeit</t>
  </si>
  <si>
    <t>Ja/Nein</t>
  </si>
  <si>
    <t>Kurzer Text</t>
  </si>
  <si>
    <t>Yes</t>
  </si>
  <si>
    <t>Unique name of the client (Mandant)</t>
  </si>
  <si>
    <t>Type</t>
  </si>
  <si>
    <t>Master Data</t>
  </si>
  <si>
    <t>Size</t>
  </si>
  <si>
    <t>Code</t>
  </si>
  <si>
    <t>Unique cost center code</t>
  </si>
  <si>
    <t>Cost center title</t>
  </si>
  <si>
    <t>Flag indicating profit centers</t>
  </si>
  <si>
    <t>OrderNum</t>
  </si>
  <si>
    <t>Integer</t>
  </si>
  <si>
    <t>Data Type
Access</t>
  </si>
  <si>
    <t>Order number for user selection</t>
  </si>
  <si>
    <t>Title of plan element type</t>
  </si>
  <si>
    <t>Cost Centers and Profit Centers for allocation of plan and booking records</t>
  </si>
  <si>
    <t>tPlan</t>
  </si>
  <si>
    <t>Defines a plan version. One version per client is defined to be the base line plan which is currently valid for controlling and reporting. All changes for the baseline plan are tracked. and tracked for all changes. All other versions are for planning stage only. Multiple plan versions allow scenario planning.</t>
  </si>
  <si>
    <t>Unique reference identifier for grouping all related planning and accounting records.
For instance contract reference, employee reference, inventory reference.
Must be unique in conjunction with idClient. Can be empty if grouping with accounting records is not required</t>
  </si>
  <si>
    <t>Unique title of the plan (by client)</t>
  </si>
  <si>
    <t>Date from which all planning records will be applied to the baseline plan. It will overwrite baseline plan records fro that date onward</t>
  </si>
  <si>
    <t>tPlanGroup</t>
  </si>
  <si>
    <t>idPlanGroup</t>
  </si>
  <si>
    <t>Reference to a planning group or category which allows to cluster planning records in to groups such as CAPEX, Variable Cost, Fixed Cost, etc.</t>
  </si>
  <si>
    <t>Unique title of the planning group or category (by client)</t>
  </si>
  <si>
    <t>Title of the plan element</t>
  </si>
  <si>
    <t>Langer Text</t>
  </si>
  <si>
    <t>Long text for descpription of planning element</t>
  </si>
  <si>
    <t>Marks if all planning items have been applied to the baseline. The plan and all related items are locked after application to baseline</t>
  </si>
  <si>
    <t>Triggers</t>
  </si>
  <si>
    <t>No record change or deletion</t>
  </si>
  <si>
    <t>Defines an element of planning which can be used across several plans. All planning records across various plans are linked to the same element. Assigning a reference id allows to link actual booking records to a plan element. This can be used to track and control planning and accounting records for employees, contracts, inventory items, etc.</t>
  </si>
  <si>
    <t>Planning groups can be used to cluster planning data into categories such as capital cost, variable cost, fixed cost, personnel cost or the likes. Planning groups are valid across plans</t>
  </si>
  <si>
    <t>Planning element for contracts with a broad range of functionality to plan for CAPEX and OPEX</t>
  </si>
  <si>
    <t>idPlan</t>
  </si>
  <si>
    <t>idAllocationSchedule</t>
  </si>
  <si>
    <t>PaymentTerm</t>
  </si>
  <si>
    <t>idVATRule</t>
  </si>
  <si>
    <t>NumberOfUnits</t>
  </si>
  <si>
    <t>PriceDate</t>
  </si>
  <si>
    <t>idPlanElement</t>
  </si>
  <si>
    <t>Double</t>
  </si>
  <si>
    <t>Assumptions</t>
  </si>
  <si>
    <t>Revisions</t>
  </si>
  <si>
    <t>tPlanAllocationSchedule</t>
  </si>
  <si>
    <t>tVATRule</t>
  </si>
  <si>
    <t>tCurrency</t>
  </si>
  <si>
    <t>tPlanParameter</t>
  </si>
  <si>
    <t>FlagProfitCenter</t>
  </si>
  <si>
    <t>Price</t>
  </si>
  <si>
    <t>BudgetContingency</t>
  </si>
  <si>
    <t>BudgetBase</t>
  </si>
  <si>
    <t>ContingencyRate</t>
  </si>
  <si>
    <t>FlagDateOffset</t>
  </si>
  <si>
    <t>Reference to plan to which the item belongs - defines when and how the item is applied to controlling records including baseline. The plan also supplied a reference date from which onward the item can be valid.</t>
  </si>
  <si>
    <t>Optional allocation of budget based on a schedule. Allocation can take form of rampup or specific repeating schedule</t>
  </si>
  <si>
    <t>Assigned VAT rate and type (i.e. reverse charge) - enables dynamic VAT change</t>
  </si>
  <si>
    <t>Optional two parameters are used for budget calculation (i.e. par1 x par2 x NumberOfUnits x Price = Budget</t>
  </si>
  <si>
    <t>Reference to currency, which enables a currency schedule. Centrally maintained. Defaults to Client currency</t>
  </si>
  <si>
    <t>Optional trigger date for defined base date and until date on a relative basis</t>
  </si>
  <si>
    <t>Defines whether base and until date are calculated on a relative basis. Offset calculation is based on valid date from plan or trigger date if defined</t>
  </si>
  <si>
    <t>Date from which planning records are applied. Offset from plan valid date or trigger date if FlagDateOffset is true, else absolute date. Actual record dates depend on allocation schedule (optional), repeat type (optional) and payment term</t>
  </si>
  <si>
    <t>see UntilDateYear</t>
  </si>
  <si>
    <t>Payment term in days. Separate planning records are created for due dates and payment dates. Payment date is due date plus Payment term</t>
  </si>
  <si>
    <t>DueDateYear</t>
  </si>
  <si>
    <t>DueDateMonth</t>
  </si>
  <si>
    <t>DueDateDay</t>
  </si>
  <si>
    <t>see DueDateYear</t>
  </si>
  <si>
    <t>Optional two parameters are used for budget calculation (i.e. par1 x par2 x NumberOfUnits x Price = Budget)</t>
  </si>
  <si>
    <t>Number of units for budget calculation (i.e. par1 x par2 x NumberOfUnits x Price = Budget)</t>
  </si>
  <si>
    <t>Price for for budget calculation (i.e. par1 x par2 x NumberOfUnits x Price = Budget). Inflation schedule will be applied (optional)</t>
  </si>
  <si>
    <t>Assigns a reference date to the price (in absolute date). Inflation is only applied from price date</t>
  </si>
  <si>
    <t>% rate used to calculate a contract contingency which is used to calculate the final budget for records</t>
  </si>
  <si>
    <t>BudgetContingency = BudgetBase x ContingencyRate</t>
  </si>
  <si>
    <t>Comment field for documentation of planning assumptions. Is propagated from plan version to plan version</t>
  </si>
  <si>
    <t>Comment field for documentation of planning revisions from plan version to plan version</t>
  </si>
  <si>
    <t>Definition of a schedule to allocate budget over time. Schedules are always relative to a base date per item. Schedules can be monthly, quarterly or yearly and can have up to 13 distinct items. Each item is a percent rate applied to the planning item budget. Percentage rates can be a ramp-up in which case the final value is the basis for possible repetition depending on repeat type</t>
  </si>
  <si>
    <t>Defines a VAT rule incl. VAT rate and related accounts. Supports later implementation of VAT changes</t>
  </si>
  <si>
    <t>Defines a currency and connected exchange rate schedule</t>
  </si>
  <si>
    <t>Date</t>
  </si>
  <si>
    <t>What to do with dependent items when copying a plan?</t>
  </si>
  <si>
    <t>Lock all dependent items of a plan when applied to baseline?</t>
  </si>
  <si>
    <t>How to model a plan scenario before application to baseline?
Copy all baseline records? How to export a view with combined baseline and plan records for analysis?</t>
  </si>
  <si>
    <t>MonthsBetweenItems</t>
  </si>
  <si>
    <t>tPlanAllocationScheduleItems</t>
  </si>
  <si>
    <t>idPlanAllocationSchedule</t>
  </si>
  <si>
    <t>ItemRate</t>
  </si>
  <si>
    <t>Title of the schedule</t>
  </si>
  <si>
    <t>Number of months between application of successive item rates (1 - monthly, 3 - quarterly, 12 - annually)</t>
  </si>
  <si>
    <t>Exclusive reference. All items are children of a single allocation schedule</t>
  </si>
  <si>
    <t>Sort number of the items</t>
  </si>
  <si>
    <t>PerpetualRate</t>
  </si>
  <si>
    <t>Percentage rate applied to allocate budget by item</t>
  </si>
  <si>
    <t>Percentage rate applied to allocate budget after defined schedule items</t>
  </si>
  <si>
    <t>Maybe it is better to archive plans when applied to baseline by creating exclusively dependent children?
Does this need to include master data like currency, account and VAT data? Might be overdone …</t>
  </si>
  <si>
    <t>idPlanBase</t>
  </si>
  <si>
    <t>Link a plan to a base plan as a plan variant. When a plan variant is implemented copies for all items of the base plan are created for the plan variant except where the plan variant redefines the respective plan elements</t>
  </si>
  <si>
    <t>Title of the parameter</t>
  </si>
  <si>
    <t>Possible comment for the parameter (like assumptions and source information)</t>
  </si>
  <si>
    <t>Reference to base currency of the client. All planning records are calculated based on this currency.</t>
  </si>
  <si>
    <t>tPlanExchangeRate</t>
  </si>
  <si>
    <t>Planned exchange rates</t>
  </si>
  <si>
    <t>International currency short code</t>
  </si>
  <si>
    <t>Currency long name</t>
  </si>
  <si>
    <t>Reference to the currency for the exchange rate</t>
  </si>
  <si>
    <t>RatePerClientCurrency</t>
  </si>
  <si>
    <t>Rate of currency per unit of client currency</t>
  </si>
  <si>
    <t>tPlanElementInstance</t>
  </si>
  <si>
    <t>Links type-specific implementations of a plan element to plan. Enables simple overview of all element instances that exist for a particular plan</t>
  </si>
  <si>
    <t>Open Point</t>
  </si>
  <si>
    <t>Feature</t>
  </si>
  <si>
    <t>Link a plan to a base plan to enable plan scenarios</t>
  </si>
  <si>
    <t>Use reference table to link records from baseline, base plan and variant plan to the variant plan. This enables the creation of a view for any particular plan variant without copying all baseline records. Could even include actual records up to the start of planning horizon</t>
  </si>
  <si>
    <t>How to determine entry values for all accounts in a plan/plan variant?</t>
  </si>
  <si>
    <t>Order</t>
  </si>
  <si>
    <t>Byte</t>
  </si>
  <si>
    <t>ValueNum</t>
  </si>
  <si>
    <t>ValueDate</t>
  </si>
  <si>
    <t>ValueText</t>
  </si>
  <si>
    <t>Value for BudgetFactor, Repeat interval for InflationRate in months, N/A for TriggerDate</t>
  </si>
  <si>
    <t>Value for TriggerDate</t>
  </si>
  <si>
    <t>Currently not used</t>
  </si>
  <si>
    <t>Unit of the parameter for ValueNum</t>
  </si>
  <si>
    <t>Type Definition</t>
  </si>
  <si>
    <t>TypeStatus</t>
  </si>
  <si>
    <t>Specifies status of a plan. When an updated plan is reimplemented, the status returns to "PlanImplemented". When the plan is applied to baseline, the status moves to PlanApplied and the FlagBaseline is set to lock the plan</t>
  </si>
  <si>
    <t>0;"PlanNew";
1;"PlanImplemented";
2;"PlanUpdated";
3;"PlanApplied".</t>
  </si>
  <si>
    <t>idParTriggerDate</t>
  </si>
  <si>
    <t>idParPrice1</t>
  </si>
  <si>
    <t>idParPrice2</t>
  </si>
  <si>
    <t>Defines a type of booking repetition</t>
  </si>
  <si>
    <t>TypeRepeat</t>
  </si>
  <si>
    <t>Defines a parameter value for various applications depending on type. PriceFactor is used for item price calculation, TriggerDate is used to trigger the start date of planning records for an item, InflationRate is used to calculate price increases</t>
  </si>
  <si>
    <t>Links plan element to specific item in a plan</t>
  </si>
  <si>
    <t>Integrity</t>
  </si>
  <si>
    <t>DeleteWithParent</t>
  </si>
  <si>
    <t>idPlanInstance</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</si>
  <si>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t>
  </si>
  <si>
    <t>tAccount</t>
  </si>
  <si>
    <t>Application</t>
  </si>
  <si>
    <t>Client</t>
  </si>
  <si>
    <t>Deletion of a plan needs to trigger the programmatic deletion of related plan variants</t>
  </si>
  <si>
    <t>Check whether auto deletion of plan items with plan deletion via plan element instance table works</t>
  </si>
  <si>
    <t>Defines the account structure for a particular client</t>
  </si>
  <si>
    <t>Clients / Mandanten for management of separate data universes
Template clients can be used to specify master data templates</t>
  </si>
  <si>
    <t>FlagTemplate</t>
  </si>
  <si>
    <t>Marks clients that are used as templates for client creation or update</t>
  </si>
  <si>
    <t>Issue</t>
  </si>
  <si>
    <t>Deletion date is set when client record is created</t>
  </si>
  <si>
    <t>Create/update client master data based on template client (accounts, account functions, VAT rules)</t>
  </si>
  <si>
    <t>tBookRecord</t>
  </si>
  <si>
    <t>tBookTransaction</t>
  </si>
  <si>
    <t>tDepreciationRule</t>
  </si>
  <si>
    <t>Assigns accounts to specific planning item functions (eg. Debitor, creditor accounts, selection of accounts for contract items, advance booking, etc.)</t>
  </si>
  <si>
    <t>Booking record with all relevant accounting information. Booking records can be of type actual, baseline or plan. Baseline specifies the baseline plan for reporting versus actual</t>
  </si>
  <si>
    <t>A booking record includes two transactions one for debit and one for credit. This is separated from the record object for better reporting functionality</t>
  </si>
  <si>
    <t>Specifies reference codes for use in planning and accounting to cluster transactions by employee, contract, inventory item, project, etc.</t>
  </si>
  <si>
    <t>tPlanTransaction</t>
  </si>
  <si>
    <t>Links actual, baseline and plan transactions to a particular plan or plan variant to integrate into a single view and forecast</t>
  </si>
  <si>
    <t>tAccountGroup</t>
  </si>
  <si>
    <t>Enables grouping of accounts for reporting purposes</t>
  </si>
  <si>
    <t>idAccountGroup</t>
  </si>
  <si>
    <t>idAccountReporting</t>
  </si>
  <si>
    <t>Format</t>
  </si>
  <si>
    <t>00000</t>
  </si>
  <si>
    <t>TypeAccount</t>
  </si>
  <si>
    <t>0 - Assets
10 - Liabilities
15 - Capital
20 - Income
30 - Expenditure
40 - Period</t>
  </si>
  <si>
    <t>FlagPlan</t>
  </si>
  <si>
    <t>Marks accounts for planning. Other accounts are not shown for selection</t>
  </si>
  <si>
    <t>Reference to client</t>
  </si>
  <si>
    <t>Reference to account group. Account groups are used to cluster and aggregate accounts for reporting purposes</t>
  </si>
  <si>
    <t>Allows to map an account to another account for reporting. Mainly used to map individual debitor and creditor accounts to main accounts</t>
  </si>
  <si>
    <t>Numeric code of the account</t>
  </si>
  <si>
    <t>Specifies the type of account for P&amp;L and balance sheet</t>
  </si>
  <si>
    <t>Title in local language</t>
  </si>
  <si>
    <t>Title in english</t>
  </si>
  <si>
    <t>Specifies planning functions for mapping accounts to specific functions</t>
  </si>
  <si>
    <t>tPlanAccountFunction</t>
  </si>
  <si>
    <t>Specifies assigned account for client</t>
  </si>
  <si>
    <t>NumberOfPeriods</t>
  </si>
  <si>
    <t>PeriodInMonths</t>
  </si>
  <si>
    <t>idAccountDepreciation</t>
  </si>
  <si>
    <t>Reference to counter account for depreciation booking</t>
  </si>
  <si>
    <t>0 - Linear</t>
  </si>
  <si>
    <t>For later implementation of alternative depreciation schemes. Currently only linear depreciation used</t>
  </si>
  <si>
    <t>idDepreciationRule</t>
  </si>
  <si>
    <t>Enables the depreciation of the contract value</t>
  </si>
  <si>
    <t>DepreciationDelay</t>
  </si>
  <si>
    <t>Delayed start of depreciation in number of months versus base date</t>
  </si>
  <si>
    <t>idAccountMain</t>
  </si>
  <si>
    <t>Final booking account for item (before depreciation)</t>
  </si>
  <si>
    <t>Optional specification of an account for advance payment or accrual booking</t>
  </si>
  <si>
    <t>AdvanceDelay</t>
  </si>
  <si>
    <t>idAccountAdvanceAccrual</t>
  </si>
  <si>
    <t>idAccrualSchedule</t>
  </si>
  <si>
    <t>For advance payment the delay in months specifies how many months after base date the advance is booked to main account</t>
  </si>
  <si>
    <t>Assigns an allocation schedule for accrual</t>
  </si>
  <si>
    <t>idDepreciationTrigger</t>
  </si>
  <si>
    <t>Optional specification of a trigger date for start of depreciation. Can be used to trigger depreciation of  an entire facility after completion</t>
  </si>
  <si>
    <t>idAccountDebit</t>
  </si>
  <si>
    <t>idAccountCredit</t>
  </si>
  <si>
    <t>idBookingRun</t>
  </si>
  <si>
    <t>BookingSequenceNum</t>
  </si>
  <si>
    <t>0 - Actual
1 - Baseline
2 - Plan</t>
  </si>
  <si>
    <t>idPlanElementInstance</t>
  </si>
  <si>
    <t>Amount</t>
  </si>
  <si>
    <t>StartOfBusinessYear</t>
  </si>
  <si>
    <t>Start of business year in calendar month - defaults to 1 (Jan 1st)</t>
  </si>
  <si>
    <t>BusinessYear</t>
  </si>
  <si>
    <t>BookingYear</t>
  </si>
  <si>
    <t>BookingQuarter</t>
  </si>
  <si>
    <t>BookingMonth</t>
  </si>
  <si>
    <t>tBookingRun</t>
  </si>
  <si>
    <t>Reference for booking run in main accounting system</t>
  </si>
  <si>
    <t>Differentiates between actual booking records, booking records for the baseline plan and booking records for a plan or plan variant. All records are stored in the same table for analysis</t>
  </si>
  <si>
    <t>Debit Account for reference</t>
  </si>
  <si>
    <t>Credit Account for reference</t>
  </si>
  <si>
    <t>Cost center for reference</t>
  </si>
  <si>
    <t>Booking run for reference</t>
  </si>
  <si>
    <t>Sequence number for booking run in main accounting system for cross reference</t>
  </si>
  <si>
    <t>Link to plan, plan element and plan item</t>
  </si>
  <si>
    <t>Booking text</t>
  </si>
  <si>
    <t>Booking date</t>
  </si>
  <si>
    <t>Business year calculated based on start of business year per client</t>
  </si>
  <si>
    <t>Calendar year of booking date for reporting</t>
  </si>
  <si>
    <t>Calendar quarter of booking date for reporting</t>
  </si>
  <si>
    <t>Calendar month of booking date for reporting</t>
  </si>
  <si>
    <t>Booking amount</t>
  </si>
  <si>
    <t>Reference for booking document</t>
  </si>
  <si>
    <t>Free comment for booking record. Can be changed for controlling purpose as needed</t>
  </si>
  <si>
    <t>idAccountCounter</t>
  </si>
  <si>
    <t>idBookingRecord</t>
  </si>
  <si>
    <t>AmountDebit</t>
  </si>
  <si>
    <t>AmountCredit</t>
  </si>
  <si>
    <t>Link to booking record</t>
  </si>
  <si>
    <t>Account for the transaction</t>
  </si>
  <si>
    <t>Counter account for information</t>
  </si>
  <si>
    <t>Debit amount</t>
  </si>
  <si>
    <t>Credit amount</t>
  </si>
  <si>
    <t>AmountTotal</t>
  </si>
  <si>
    <t>Credit minus debit amount</t>
  </si>
  <si>
    <t>idBookTransaction</t>
  </si>
  <si>
    <t>Link to transaction and indirectly booking record.</t>
  </si>
  <si>
    <t>Link to plan. Plan is linked to all transactions that need to be reported under this plan including actuals, baseline and planning records</t>
  </si>
  <si>
    <t>Booking run identifier from main accounting system</t>
  </si>
  <si>
    <t>PeriodYear</t>
  </si>
  <si>
    <t>PeriodMonth</t>
  </si>
  <si>
    <t>SerialNum</t>
  </si>
  <si>
    <t>Accounting period calendar year</t>
  </si>
  <si>
    <t>Accounting period calendar month</t>
  </si>
  <si>
    <t>Serial number of booking run within period</t>
  </si>
  <si>
    <t>Title of booking run (eg. "Year end bookings")</t>
  </si>
  <si>
    <t>smallint</t>
  </si>
  <si>
    <t>float</t>
  </si>
  <si>
    <t>Data Type SQL Server</t>
  </si>
  <si>
    <t>CREATE</t>
  </si>
  <si>
    <t>Action</t>
  </si>
  <si>
    <t>max</t>
  </si>
  <si>
    <t>nvarchar</t>
  </si>
  <si>
    <t>idAccountVATInput</t>
  </si>
  <si>
    <t>idAccountVATOutput</t>
  </si>
  <si>
    <t>RateCurrent</t>
  </si>
  <si>
    <t>DateRateChange</t>
  </si>
  <si>
    <t>RateFuture</t>
  </si>
  <si>
    <t>Index</t>
  </si>
  <si>
    <t>tReferenceGroup</t>
  </si>
  <si>
    <t>BaseCode</t>
  </si>
  <si>
    <t>NextNum</t>
  </si>
  <si>
    <t>FlagAutoGen</t>
  </si>
  <si>
    <t>AutoDigits</t>
  </si>
  <si>
    <t>Master data by client</t>
  </si>
  <si>
    <t>Booking account for inbound VAT</t>
  </si>
  <si>
    <t>Booking account for outbound VAT</t>
  </si>
  <si>
    <t>FlagReverseCharge</t>
  </si>
  <si>
    <t>Current VAT rate</t>
  </si>
  <si>
    <t>Optional date of VAT change</t>
  </si>
  <si>
    <t>VAT rate from date of VAT change</t>
  </si>
  <si>
    <t>Flag indicating that due to reverse charge inbound and outbound tax are reported at transaction time and not added to the net payment</t>
  </si>
  <si>
    <t>Short code for accounting system</t>
  </si>
  <si>
    <t>Optional short title</t>
  </si>
  <si>
    <t>E; "Employee";
I; "Inventory";
C; "Contract";
P; "Project";</t>
  </si>
  <si>
    <t>Reference codes can be auto-generated by type and basecode.</t>
  </si>
  <si>
    <t>Short descriptive title</t>
  </si>
  <si>
    <t>Reference codes can be differentiated by base code. For instance different departments</t>
  </si>
  <si>
    <t>The system automatically records the last assigned reference and increments this for the next assignment</t>
  </si>
  <si>
    <t>Alternatively the user can manually assign reference codes</t>
  </si>
  <si>
    <t>Defines the number of digits for auto generation of a current number</t>
  </si>
  <si>
    <t>idReferenceGroup</t>
  </si>
  <si>
    <t>User data by client</t>
  </si>
  <si>
    <t>Reference codes must be unique by client and reference group</t>
  </si>
  <si>
    <t>Reference code</t>
  </si>
  <si>
    <t>Title of the reference item, optional</t>
  </si>
  <si>
    <t>Free comment for the reference item</t>
  </si>
  <si>
    <t>Defines groups of reference codes per client for auto generation</t>
  </si>
  <si>
    <t>Bei Löschung eines Planes müssen bereits erstellte BookRecords ggf. manuell gelöscht werden wegen Polymorphie</t>
  </si>
  <si>
    <t>Unique</t>
  </si>
  <si>
    <t>FlagOutdated</t>
  </si>
  <si>
    <t>Indicates that the record has been replaced with a updated version</t>
  </si>
  <si>
    <t>DateOutdated</t>
  </si>
  <si>
    <t>Specifies when the record was outdated in order to permit auditing older baseline versions</t>
  </si>
  <si>
    <t>PlanTitle</t>
  </si>
  <si>
    <t>DateValidFrom</t>
  </si>
  <si>
    <t>DateValidTo</t>
  </si>
  <si>
    <t>Date until which planning records are created</t>
  </si>
  <si>
    <t>AccountCode</t>
  </si>
  <si>
    <t>BookingRunCode</t>
  </si>
  <si>
    <t>CostCenterCode</t>
  </si>
  <si>
    <t>CurrencyCode</t>
  </si>
  <si>
    <t>VATRuleCode</t>
  </si>
  <si>
    <t>ReferenceCode</t>
  </si>
  <si>
    <t>BookRecordComment</t>
  </si>
  <si>
    <t>PlanParameterComment</t>
  </si>
  <si>
    <t>BookingDate</t>
  </si>
  <si>
    <t>PlanElementDescription</t>
  </si>
  <si>
    <t>BookingDocument1</t>
  </si>
  <si>
    <t>BookingDocument2</t>
  </si>
  <si>
    <t>PlanFlagBaseline</t>
  </si>
  <si>
    <t>ContractFlagBaseline</t>
  </si>
  <si>
    <t>ElementFlagBaseline</t>
  </si>
  <si>
    <t>idAccountTransaction</t>
  </si>
  <si>
    <t>idAccountPlanAccountFunction</t>
  </si>
  <si>
    <t>idCostCenterBookRecord</t>
  </si>
  <si>
    <t>idCostCenterPlanElement</t>
  </si>
  <si>
    <t>idCurrencyClient</t>
  </si>
  <si>
    <t>idCurrencyContract</t>
  </si>
  <si>
    <t>idCurrencyExchangeRate</t>
  </si>
  <si>
    <t>ReferenceIDBookRecord</t>
  </si>
  <si>
    <t>ReferenceIDPlanElement</t>
  </si>
  <si>
    <t>TitleBookingRun</t>
  </si>
  <si>
    <t>TitleBookRecord</t>
  </si>
  <si>
    <t>TitleClient</t>
  </si>
  <si>
    <t>TitleCostCenter</t>
  </si>
  <si>
    <t>TitleCurrency</t>
  </si>
  <si>
    <t>TitleDepreciationRule</t>
  </si>
  <si>
    <t>TitlePlan</t>
  </si>
  <si>
    <t>TitleAllocationSchedule</t>
  </si>
  <si>
    <t>TitlePlanElement</t>
  </si>
  <si>
    <t>TitlePlanXRate</t>
  </si>
  <si>
    <t>TitlePlanGroup</t>
  </si>
  <si>
    <t>TitlePlanParameter</t>
  </si>
  <si>
    <t>TitleVATRule</t>
  </si>
  <si>
    <t>TitleReferenceGroup</t>
  </si>
  <si>
    <t>TitleEnglishAccount</t>
  </si>
  <si>
    <t>TitleEnglishAccountGroup</t>
  </si>
  <si>
    <t>TitleLocalAccount</t>
  </si>
  <si>
    <t>TitleLocalAccountGroup</t>
  </si>
  <si>
    <t>TypeBookRecord</t>
  </si>
  <si>
    <t>TypeDepreciationRule</t>
  </si>
  <si>
    <t>TypePlanElement</t>
  </si>
  <si>
    <t>TypePlanParameter</t>
  </si>
  <si>
    <t>TypeReferenceGroup</t>
  </si>
  <si>
    <t>UnitParameter</t>
  </si>
  <si>
    <t>UntilDateDayContract</t>
  </si>
  <si>
    <t>UntilDateMonthContract</t>
  </si>
  <si>
    <t>UntilDateYearContract</t>
  </si>
  <si>
    <t>Status</t>
  </si>
  <si>
    <t>Depends on</t>
  </si>
  <si>
    <t>tClient
tPlanFunctionDef</t>
  </si>
  <si>
    <t>Cascade Sequence</t>
  </si>
  <si>
    <t>Develop</t>
  </si>
  <si>
    <t>Automate standard view creation per table</t>
  </si>
  <si>
    <t>Automate entity model creation per view</t>
  </si>
  <si>
    <t>Create COM interfaces for early binding and intellisense use in Office</t>
  </si>
  <si>
    <t>Set up dynamic connection string determination for business objects</t>
  </si>
  <si>
    <t>AutoView</t>
  </si>
  <si>
    <t>Currency</t>
  </si>
  <si>
    <t>PlanAccountFunction</t>
  </si>
  <si>
    <t>Account</t>
  </si>
  <si>
    <t>AccountGroup</t>
  </si>
  <si>
    <t>CostCenter</t>
  </si>
  <si>
    <t>DepreciationRule</t>
  </si>
  <si>
    <t>VATRule</t>
  </si>
  <si>
    <t>ReferenceGroup</t>
  </si>
  <si>
    <t>BookingRun</t>
  </si>
  <si>
    <t>Plan</t>
  </si>
  <si>
    <t>PlanElement</t>
  </si>
  <si>
    <t>PlanGroup</t>
  </si>
  <si>
    <t>PlanAllocationSchedule</t>
  </si>
  <si>
    <t>PlanElementInstance</t>
  </si>
  <si>
    <t>PlanExchangeRate</t>
  </si>
  <si>
    <t>PlanParameter</t>
  </si>
  <si>
    <t>PlanTransaction</t>
  </si>
  <si>
    <t>BookRecord</t>
  </si>
  <si>
    <t>BookTransaction</t>
  </si>
  <si>
    <t>TableName</t>
  </si>
  <si>
    <t>ViewName</t>
  </si>
  <si>
    <t>Entity Name</t>
  </si>
  <si>
    <t>ViewAlias</t>
  </si>
  <si>
    <t>Top Row Limit</t>
  </si>
  <si>
    <t>Folder for SQL Scripts</t>
  </si>
  <si>
    <t>C:\Users\thors\source\repos\Verum\Design\DatabaseScripts</t>
  </si>
  <si>
    <t>ViewIgnoreRef</t>
  </si>
  <si>
    <t>ViewRefPostFix</t>
  </si>
  <si>
    <t>BasePlan</t>
  </si>
  <si>
    <t>Accrual</t>
  </si>
  <si>
    <t>Advance</t>
  </si>
  <si>
    <t>Main</t>
  </si>
  <si>
    <t>Price1</t>
  </si>
  <si>
    <t>Price2</t>
  </si>
  <si>
    <t>Parameters for entity model creation</t>
  </si>
  <si>
    <t>DB Context Name</t>
  </si>
  <si>
    <t>FolderScripts</t>
  </si>
  <si>
    <t>FolderEntityModel</t>
  </si>
  <si>
    <t>DBContext</t>
  </si>
  <si>
    <t>VerumDBContext</t>
  </si>
  <si>
    <t>Folders</t>
  </si>
  <si>
    <t>DB Context Base</t>
  </si>
  <si>
    <t>ContextBase</t>
  </si>
  <si>
    <t>Data Source = SUSTEEN12\\SQLEXPRESS; Initial Catalog = VerumDBDev; Integrated Security = True</t>
  </si>
  <si>
    <t>Range Name</t>
  </si>
  <si>
    <t>Namespace</t>
  </si>
  <si>
    <t>VerumBusinessObjects</t>
  </si>
  <si>
    <t>C:\Users\thors\source\repos\Verum\VerumBusinessObjects\Data Model</t>
  </si>
  <si>
    <t>VATIn</t>
  </si>
  <si>
    <t>VATOut</t>
  </si>
  <si>
    <t>DeprTrigger</t>
  </si>
  <si>
    <t>BookTrigger</t>
  </si>
  <si>
    <t>Counter</t>
  </si>
  <si>
    <t>Debit</t>
  </si>
  <si>
    <t>Credit</t>
  </si>
  <si>
    <t>Report</t>
  </si>
  <si>
    <t/>
  </si>
  <si>
    <t>PlanItemContract</t>
  </si>
  <si>
    <t>tPlanItemContract</t>
  </si>
  <si>
    <t>Folder for data model</t>
  </si>
  <si>
    <t>Folder for business model</t>
  </si>
  <si>
    <t>FolderBusinessModel</t>
  </si>
  <si>
    <t>BookingRule= 0,
Contract = 1,
Personnel= 2</t>
  </si>
  <si>
    <t>BaseClasses: Load führt zu Fehler, wenn Id nicht existiert. Prüfen FirstOrDefault? Oder Fehlerbehandlung</t>
  </si>
  <si>
    <t>Nutzung von enum types in data model?</t>
  </si>
  <si>
    <t>datetime2</t>
  </si>
  <si>
    <t>done</t>
  </si>
  <si>
    <t>Auto create table entities in addition to view entities. Use view entities in read-only (get) and table entities in get and set</t>
  </si>
  <si>
    <t>Default value for DateCreated does not work with DateTime2</t>
  </si>
  <si>
    <t>SQL Field Types</t>
  </si>
  <si>
    <t>datetime</t>
  </si>
  <si>
    <t>date</t>
  </si>
  <si>
    <t>ForcedIntegrity</t>
  </si>
  <si>
    <t>Enumlisten als Tabelle in DB realisieren und Code autogenerieren</t>
  </si>
  <si>
    <t>Reference</t>
  </si>
  <si>
    <t>ImplementPlan</t>
  </si>
  <si>
    <t>Check for existing booking record and update / or delete existing booking records</t>
  </si>
  <si>
    <t>Use connection string from resources</t>
  </si>
  <si>
    <t>Check how to transmit error code to dll client</t>
  </si>
  <si>
    <t>Reference Entity</t>
  </si>
  <si>
    <t>Reference Table</t>
  </si>
  <si>
    <t>Reference Field</t>
  </si>
  <si>
    <t>Child relationships code generation implementieren</t>
  </si>
  <si>
    <t>Zustandsmodell in Business Objects für Datenbankzugriff optimieren (Neu, Geändert, Gelösct, o.ä.) =&gt; CommitChanges</t>
  </si>
  <si>
    <t>Shared DBContext zum effizienteren DB Zugriff</t>
  </si>
  <si>
    <t>PlanContract</t>
  </si>
  <si>
    <t>idDepreciationRule  implementieren</t>
  </si>
  <si>
    <t>idVATRule  implementieren</t>
  </si>
  <si>
    <t>AllocationSchedule UntilDate implementieren</t>
  </si>
  <si>
    <t>TypeRepeat UntilDate implementieren</t>
  </si>
  <si>
    <t>idCurrencyContract  implementieren</t>
  </si>
  <si>
    <t>ContractFlagBaseline  implementieren</t>
  </si>
  <si>
    <t>PaymentTerm implementieren</t>
  </si>
  <si>
    <t>BudgetBase fixed/calculated implementieren</t>
  </si>
  <si>
    <t>idParInflation  mit Price Date implementieren</t>
  </si>
  <si>
    <t>BudgetContingency implementieren</t>
  </si>
  <si>
    <t>AccountAdvanceAccrual mit AdvanceDelay und Schedule implementieren</t>
  </si>
  <si>
    <t>Remove field idPlanItem from PlanItemInstance - no longer used</t>
  </si>
  <si>
    <t>Due date calculation mit Offset, idParTriggerDate  implementieren, trigger date noch testen</t>
  </si>
  <si>
    <t>Rename and Split into Purchase and Sale?</t>
  </si>
  <si>
    <t>PlanAllocationScheduleItems</t>
  </si>
  <si>
    <t>Rates per period for plan allocation schedules</t>
  </si>
  <si>
    <t>Main account and cash account selection implementieren</t>
  </si>
  <si>
    <t>Links plan element to to a specific plan</t>
  </si>
  <si>
    <t>FlagScheduleShared</t>
  </si>
  <si>
    <t>Indicates whether a schedule is visible for sharing in several different items</t>
  </si>
  <si>
    <t>tReferenceCode</t>
  </si>
  <si>
    <t>RefCodeComment</t>
  </si>
  <si>
    <t>RefCode</t>
  </si>
  <si>
    <t>TitleRefCode</t>
  </si>
  <si>
    <t>Type Name</t>
  </si>
  <si>
    <t>Title</t>
  </si>
  <si>
    <t>NoRepeat</t>
  </si>
  <si>
    <t>Schedule</t>
  </si>
  <si>
    <t>Monthly</t>
  </si>
  <si>
    <t>Quarterly</t>
  </si>
  <si>
    <t>Annually</t>
  </si>
  <si>
    <t>BookingRule</t>
  </si>
  <si>
    <t>Contract</t>
  </si>
  <si>
    <t>Personnel</t>
  </si>
  <si>
    <t>C# Code</t>
  </si>
  <si>
    <t>Fixed transaction budget. When zero (0) the transaction budget is calculated
= Par1 x Par2 x NumberOfUnits x Price x InflationFactor</t>
  </si>
  <si>
    <t>Baseline</t>
  </si>
  <si>
    <t>Actual</t>
  </si>
  <si>
    <t>Change BusinessObject interface to base class or abstract class</t>
  </si>
  <si>
    <t>Date until which repeated records are applied. Either offset or absolute (see DueDateYear). Will only be used if earlier than ValidToDate of Plan.</t>
  </si>
  <si>
    <t>PriceFactor</t>
  </si>
  <si>
    <t>TriggerDate</t>
  </si>
  <si>
    <t>Price Parameter  implementieren</t>
  </si>
  <si>
    <t>Bei Plan Implementation nur einmal Commit aufrufen zur Beschleunigung der DB Transaktionen oder async?</t>
  </si>
  <si>
    <t>TitleElementType</t>
  </si>
  <si>
    <t>CHANGED</t>
  </si>
  <si>
    <t>PlanInflationRule</t>
  </si>
  <si>
    <t>Defines an inflation rule per plan which can be used in planning items</t>
  </si>
  <si>
    <t>Type of parameter (currently price factor, trigger date)</t>
  </si>
  <si>
    <t>tPlanInflationRule</t>
  </si>
  <si>
    <t>TitleInflationRule</t>
  </si>
  <si>
    <t>Title of the inflation rule</t>
  </si>
  <si>
    <t>InflationInterval</t>
  </si>
  <si>
    <t>Number of months between inflation price increases (1, 3 or 12)</t>
  </si>
  <si>
    <t>InflationRateAnnual</t>
  </si>
  <si>
    <t>Annual inflation rate</t>
  </si>
  <si>
    <t>idInflationRule</t>
  </si>
  <si>
    <t>tClient
tAccountGroup</t>
  </si>
  <si>
    <t>tPlan
tPlanElement</t>
  </si>
  <si>
    <t>Assigns an inflation rate and rule, which can be shared across plan items. Inflation schedule is calculated relative to calculated base date of the transaction (based on trigger date, plan valid date or absolute due date) - except in case a PriceDate is defined. When a price date is defined, the inflation is applied relative to the price date.
Inflation is always applied as per January each year and then for every interval according to the inflation rule (typically monthly, quarterly or annually). When a PriceDate is specified the monthly inflation rate is applied from the PriceDate to the nearest inflation interval before the base date of the transaction. Else inflation is applied from the start of the year of the base date, which is only relevant when the inflation interval is less than annually.</t>
  </si>
  <si>
    <t>InflationRuleComment</t>
  </si>
  <si>
    <t>Possible comment for the inflation rule (like assumptions and source information)</t>
  </si>
  <si>
    <t>UPDATE</t>
  </si>
  <si>
    <t>TypeCodeDef</t>
  </si>
  <si>
    <t>TypeGroupDef</t>
  </si>
  <si>
    <t>NEW</t>
  </si>
  <si>
    <t>tTypeCodeDef</t>
  </si>
  <si>
    <t>tTypeGroupDef</t>
  </si>
  <si>
    <t>Reference to type group</t>
  </si>
  <si>
    <t>TypeCode</t>
  </si>
  <si>
    <t>TypeGroupID</t>
  </si>
  <si>
    <t>idTypeGroupDef</t>
  </si>
  <si>
    <t>TypeID</t>
  </si>
  <si>
    <t>Technical identifier of the type - must not be changed. Used in code</t>
  </si>
  <si>
    <t>Technical identifier of the type instance - must not be changed. Used in code</t>
  </si>
  <si>
    <t>Technical code for the type - must not be changed. Used in code</t>
  </si>
  <si>
    <t>Specifies the functionality of the account</t>
  </si>
  <si>
    <t>TypeAccountFunction</t>
  </si>
  <si>
    <t>Cash</t>
  </si>
  <si>
    <t>CashDefault</t>
  </si>
  <si>
    <t>PayablesDefault</t>
  </si>
  <si>
    <t>Payables</t>
  </si>
  <si>
    <t>Derive transaction records from account</t>
  </si>
  <si>
    <t>TestGUID</t>
  </si>
  <si>
    <t>Testing alternative primary key</t>
  </si>
  <si>
    <t>IdGUID</t>
  </si>
  <si>
    <t>NEWID()</t>
  </si>
  <si>
    <t>tTestGUID</t>
  </si>
  <si>
    <t>uniqueidentifier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</si>
</sst>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000000"/>
      <name val="Calibri"/>
      <family val="2"/>
    </font>
    <font>
      <b/>
      <i/>
      <sz val="11"/>
      <color theme="1"/>
      <name val="Calibri"/>
      <family val="2"/>
      <scheme val="minor"/>
    </font>
  </fonts>
  <fills count="3">
    <fill>
      <patternFill patternType="none"/>
    </fill>
    <fill>
      <patternFill patternType="gray125"/>
    </fill>
    <fill>
      <patternFill patternType="solid">
        <fgColor theme="4" tint="0.79998168889431442"/>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15">
    <xf numFmtId="0" fontId="0" fillId="0" borderId="0" xfId="0"/>
    <xf numFmtId="0" fontId="0" fillId="0" borderId="0" xfId="0" applyAlignment="1">
      <alignment wrapText="1"/>
    </xf>
    <xf numFmtId="1" fontId="0" fillId="0" borderId="0" xfId="0" applyNumberFormat="1"/>
    <xf numFmtId="14" fontId="0" fillId="0" borderId="0" xfId="0" applyNumberFormat="1"/>
    <xf numFmtId="0" fontId="0" fillId="0" borderId="0" xfId="0" quotePrefix="1"/>
    <xf numFmtId="0" fontId="0" fillId="0" borderId="0" xfId="0" quotePrefix="1" applyAlignment="1">
      <alignment wrapText="1"/>
    </xf>
    <xf numFmtId="0" fontId="2" fillId="0" borderId="0" xfId="0" applyFont="1"/>
    <xf numFmtId="0" fontId="0" fillId="0" borderId="0" xfId="0" applyNumberFormat="1"/>
    <xf numFmtId="0" fontId="0" fillId="0" borderId="0" xfId="0" applyNumberFormat="1" applyAlignment="1">
      <alignment wrapText="1"/>
    </xf>
    <xf numFmtId="0" fontId="0" fillId="2" borderId="1" xfId="0" applyFill="1" applyBorder="1" applyAlignment="1">
      <alignment horizontal="left"/>
    </xf>
    <xf numFmtId="0" fontId="0" fillId="2" borderId="2"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0" fillId="2" borderId="5" xfId="0" applyFill="1" applyBorder="1" applyAlignment="1">
      <alignment horizontal="left"/>
    </xf>
    <xf numFmtId="0" fontId="0" fillId="2" borderId="6" xfId="0" applyFill="1" applyBorder="1" applyAlignment="1">
      <alignment horizontal="left"/>
    </xf>
  </cellXfs>
  <cellStyles count="1">
    <cellStyle name="Standard" xfId="0" builtinId="0"/>
  </cellStyles>
  <dxfs count="14">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dxf>
    <dxf>
      <alignment horizontal="general" vertical="bottom" textRotation="0" wrapText="1" indent="0" justifyLastLine="0" shrinkToFit="0" readingOrder="0"/>
    </dxf>
    <dxf>
      <numFmt numFmtId="19" formatCode="dd/mm/yyyy"/>
    </dxf>
    <dxf>
      <numFmt numFmtId="0" formatCode="General"/>
    </dxf>
    <dxf>
      <numFmt numFmtId="0" formatCode="General"/>
    </dxf>
    <dxf>
      <numFmt numFmtId="0" formatCode="General"/>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2295525</xdr:colOff>
          <xdr:row>2</xdr:row>
          <xdr:rowOff>171450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Database Script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180975</xdr:rowOff>
        </xdr:from>
        <xdr:to>
          <xdr:col>0</xdr:col>
          <xdr:colOff>2295525</xdr:colOff>
          <xdr:row>5</xdr:row>
          <xdr:rowOff>161925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Entity Model Files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EF4E85-9714-4E3F-A68F-D8E72A4058B6}" name="Tables" displayName="Tables" ref="A1:J28" totalsRowShown="0">
  <autoFilter ref="A1:J28" xr:uid="{3FC7BAB2-83A4-4C49-B4E9-F430DFB9E271}"/>
  <sortState xmlns:xlrd2="http://schemas.microsoft.com/office/spreadsheetml/2017/richdata2" ref="A2:J27">
    <sortCondition ref="E1:E27"/>
  </sortState>
  <tableColumns count="10">
    <tableColumn id="1" xr3:uid="{21FC1D8E-375B-4557-BB68-7C2F1416CC6A}" name="Entity Name"/>
    <tableColumn id="4" xr3:uid="{63210F70-A66D-47AE-9387-CE903922C263}" name="Description" dataDxfId="13"/>
    <tableColumn id="5" xr3:uid="{C436C649-7E74-49DE-A6FA-1A0C6FBEDF28}" name="Master Data"/>
    <tableColumn id="7" xr3:uid="{632A4617-0077-479E-B2F3-1D97A0909B1F}" name="Depends on"/>
    <tableColumn id="8" xr3:uid="{9BDC6331-2593-49EB-9521-AE3AA1CB2118}" name="Cascade Sequence"/>
    <tableColumn id="9" xr3:uid="{AA0E25D1-83B5-4583-9F17-24702217E7BF}" name="AutoView"/>
    <tableColumn id="12" xr3:uid="{5E276711-A3ED-4899-9899-C2BC42B6F866}" name="Top Row Limit"/>
    <tableColumn id="11" xr3:uid="{FD14D4A8-30D5-4693-BBFE-4575910924BF}" name="TableName" dataDxfId="12">
      <calculatedColumnFormula>"t"&amp;Tables[[#This Row],[Entity Name]]</calculatedColumnFormula>
    </tableColumn>
    <tableColumn id="10" xr3:uid="{5681D341-E8C6-4CF2-BC51-EB346B60DFD7}" name="ViewName" dataDxfId="11">
      <calculatedColumnFormula>"v"&amp;Tables[[#This Row],[Entity Name]]</calculatedColumnFormula>
    </tableColumn>
    <tableColumn id="6" xr3:uid="{C2488DD9-6CA5-480B-8577-D47E57043B6A}" name="Actio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901462-2DFB-45FC-B3DD-60AF81562293}" name="Fields" displayName="Fields" ref="A1:V171" totalsRowShown="0">
  <autoFilter ref="A1:V171" xr:uid="{6C9F4177-2F2C-46C1-9FC5-827AAE8A43DD}"/>
  <sortState xmlns:xlrd2="http://schemas.microsoft.com/office/spreadsheetml/2017/richdata2" ref="A2:V170">
    <sortCondition ref="B2:B170"/>
    <sortCondition ref="A2:A170"/>
  </sortState>
  <tableColumns count="22">
    <tableColumn id="13" xr3:uid="{3B2C1697-8730-4DEB-84E7-BA45396DF7D1}" name="Order"/>
    <tableColumn id="1" xr3:uid="{6EA5FBBD-4E4A-4620-B76D-119284E53186}" name="Object Name"/>
    <tableColumn id="2" xr3:uid="{2A01F41F-FA55-474D-87F0-5BB033C0C064}" name="Column Name"/>
    <tableColumn id="9" xr3:uid="{A3BA7825-3F4F-4AF5-B273-BBB87934CA8B}" name="Description" dataDxfId="8"/>
    <tableColumn id="3" xr3:uid="{0ED351C7-76F0-4840-80C9-EA8B456A0BAF}" name="Data Type_x000a_Access"/>
    <tableColumn id="12" xr3:uid="{71474AE3-01F0-483C-9BB1-4C82339D8278}" name="Data Type SQL Server"/>
    <tableColumn id="10" xr3:uid="{5F32AEB2-B34A-4A92-A8A3-A05D4F1DBE37}" name="Size" dataDxfId="7"/>
    <tableColumn id="4" xr3:uid="{6F09DC55-200B-4DBF-A3D4-6EE3A798FC09}" name="Nullable"/>
    <tableColumn id="6" xr3:uid="{F55B0A21-EDA5-4CD0-84B1-7139850136BF}" name="Default Value"/>
    <tableColumn id="17" xr3:uid="{2C1C0A30-B53E-43D2-9531-236E87FE7B36}" name="Format"/>
    <tableColumn id="16" xr3:uid="{4D83E5E2-8651-477A-AD56-10C5D19FACE1}" name="Type Definition" dataDxfId="6"/>
    <tableColumn id="21" xr3:uid="{88927A6F-2FE2-4543-89B9-1A058BEFFE8D}" name="Reference Entity" dataDxfId="5"/>
    <tableColumn id="7" xr3:uid="{A4BB75C7-3037-4569-8414-FC7A9CDCDA5E}" name="Reference Table">
      <calculatedColumnFormula>IF(Fields[[#This Row],[Reference Entity]]&lt;&gt;"","t" &amp;Fields[[#This Row],[Reference Entity]],"")</calculatedColumnFormula>
    </tableColumn>
    <tableColumn id="22" xr3:uid="{49FA5B68-9EFD-4E54-8C58-4232C853FD5A}" name="Reference Field"/>
    <tableColumn id="15" xr3:uid="{32BA2C6A-3C6A-42C3-852A-8DFF434C660C}" name="Integrity"/>
    <tableColumn id="11" xr3:uid="{E2506CF4-3DEE-4527-B7DB-425D56BA3249}" name="Triggers" dataDxfId="4"/>
    <tableColumn id="8" xr3:uid="{2367896C-43EE-40EE-8815-B40A76B58138}" name="Index"/>
    <tableColumn id="18" xr3:uid="{A0B4A292-9090-4D70-BF39-DFF27CCDC9A3}" name="Unique" dataDxfId="3"/>
    <tableColumn id="5" xr3:uid="{3C0DD284-3B78-4282-A258-441F8153DDD2}" name="ViewAlias" dataDxfId="2"/>
    <tableColumn id="20" xr3:uid="{C60CBD46-F13E-49A7-BE9C-2CB07D3BF9C6}" name="ViewIgnoreRef" dataDxfId="1"/>
    <tableColumn id="19" xr3:uid="{74F7F88F-E45E-4FF5-84F1-02C8AC660F70}" name="ViewRefPostFix" dataDxfId="0"/>
    <tableColumn id="14" xr3:uid="{EF366D0D-6477-48BA-BBA8-D77C72AECCA1}" name="Status"/>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794D8D4-C8A7-4F0D-AD7F-91EC548C15F9}" name="Tabelle6" displayName="Tabelle6" ref="A1:D18" totalsRowShown="0">
  <autoFilter ref="A1:D18" xr:uid="{13AC1DF3-2914-46A7-9297-029DE38F270B}"/>
  <sortState xmlns:xlrd2="http://schemas.microsoft.com/office/spreadsheetml/2017/richdata2" ref="A2:D9">
    <sortCondition ref="A2:A9"/>
    <sortCondition ref="C2:C9"/>
  </sortState>
  <tableColumns count="4">
    <tableColumn id="1" xr3:uid="{BD3A0C55-57FB-4349-A0D6-E623CF68D1F5}" name="Type Name"/>
    <tableColumn id="2" xr3:uid="{752E80FD-D6A0-4F22-8359-0CEA55BDFE7E}" name="Title"/>
    <tableColumn id="3" xr3:uid="{3640DF04-3143-4EC2-85C9-0EA24F20CEBD}" name="Code"/>
    <tableColumn id="4" xr3:uid="{D2674F7F-BB5B-4476-AD62-C6403FA5FE52}" name="C# Code" dataDxfId="10">
      <calculatedColumnFormula>Tabelle6[[#This Row],[Title]] &amp; " = "&amp;Tabelle6[[#This Row],[Code]]&amp;IF(A3=Tabelle6[[#This Row],[Type Name]],",","")</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A0050C-ADCF-407F-B955-F8F12404C339}" name="TaskLog" displayName="TaskLog" ref="A1:E47" totalsRowShown="0">
  <autoFilter ref="A1:E47" xr:uid="{D0F7D4B2-3E8F-4B71-9417-39F49A258EDE}"/>
  <tableColumns count="5">
    <tableColumn id="1" xr3:uid="{AFDCA47B-D912-48C8-991C-7E9A00AFD09B}" name="Date" dataDxfId="9"/>
    <tableColumn id="2" xr3:uid="{8B648B12-BB3C-4E90-B5AA-D97AB1E0C0AD}" name="Type"/>
    <tableColumn id="5" xr3:uid="{AD6C6663-09B0-4DD9-98A3-4C57D49F866C}" name="Reference"/>
    <tableColumn id="3" xr3:uid="{83A80644-C3BA-4592-9E8B-D1A86E817BE4}" name="Description"/>
    <tableColumn id="4" xr3:uid="{2E8CE2E6-5D6E-483A-894A-A7EAF41B5637}" name="Statu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2A08A1-4E0F-4459-85BA-460DF69C41CA}" name="SQLFieldTypes" displayName="SQLFieldTypes" ref="A1:A10" totalsRowShown="0">
  <autoFilter ref="A1:A10" xr:uid="{94018E9A-950F-4813-8689-1603526B402B}"/>
  <tableColumns count="1">
    <tableColumn id="1" xr3:uid="{278EC05D-BF16-41A3-86C7-CB8234A08E2E}" name="SQL Field Types"/>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0CC2A1-9B6A-402E-BD97-287B7396E541}" name="Tabelle5" displayName="Tabelle5" ref="C1:C3" totalsRowShown="0">
  <autoFilter ref="C1:C3" xr:uid="{225A529C-D533-4A03-991F-99B58CD1E589}"/>
  <tableColumns count="1">
    <tableColumn id="1" xr3:uid="{C82027A7-A6C3-417F-BB1F-4C536DBB4539}" name="Integrity"/>
  </tableColumns>
  <tableStyleInfo name="TableStyleLight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2E656-1EB6-4F8F-B99F-98AAFC6668DF}">
  <sheetPr codeName="Tabelle4"/>
  <dimension ref="A11:K19"/>
  <sheetViews>
    <sheetView workbookViewId="0">
      <selection activeCell="A8" sqref="A8"/>
    </sheetView>
  </sheetViews>
  <sheetFormatPr baseColWidth="10" defaultRowHeight="15" outlineLevelCol="1" x14ac:dyDescent="0.25"/>
  <cols>
    <col min="1" max="1" width="34.5703125" bestFit="1" customWidth="1"/>
    <col min="2" max="2" width="17.7109375" hidden="1" customWidth="1" outlineLevel="1"/>
    <col min="3" max="3" width="11.42578125" collapsed="1"/>
  </cols>
  <sheetData>
    <row r="11" spans="1:7" x14ac:dyDescent="0.25">
      <c r="A11" s="6" t="s">
        <v>424</v>
      </c>
      <c r="B11" s="6" t="s">
        <v>428</v>
      </c>
    </row>
    <row r="12" spans="1:7" x14ac:dyDescent="0.25">
      <c r="A12" t="s">
        <v>408</v>
      </c>
      <c r="B12" t="s">
        <v>420</v>
      </c>
      <c r="C12" s="9" t="s">
        <v>409</v>
      </c>
      <c r="D12" s="10"/>
      <c r="E12" s="10"/>
      <c r="F12" s="10"/>
      <c r="G12" s="11"/>
    </row>
    <row r="13" spans="1:7" x14ac:dyDescent="0.25">
      <c r="A13" t="s">
        <v>443</v>
      </c>
      <c r="B13" t="s">
        <v>421</v>
      </c>
      <c r="C13" s="9" t="s">
        <v>431</v>
      </c>
      <c r="D13" s="10"/>
      <c r="E13" s="10"/>
      <c r="F13" s="10"/>
      <c r="G13" s="11"/>
    </row>
    <row r="14" spans="1:7" x14ac:dyDescent="0.25">
      <c r="A14" t="s">
        <v>444</v>
      </c>
      <c r="B14" t="s">
        <v>445</v>
      </c>
      <c r="C14" s="9" t="s">
        <v>431</v>
      </c>
      <c r="D14" s="10"/>
      <c r="E14" s="10"/>
      <c r="F14" s="10"/>
      <c r="G14" s="11"/>
    </row>
    <row r="16" spans="1:7" x14ac:dyDescent="0.25">
      <c r="A16" s="6" t="s">
        <v>418</v>
      </c>
    </row>
    <row r="17" spans="1:11" x14ac:dyDescent="0.25">
      <c r="A17" t="s">
        <v>419</v>
      </c>
      <c r="B17" t="s">
        <v>422</v>
      </c>
      <c r="C17" s="12" t="s">
        <v>423</v>
      </c>
      <c r="D17" s="13"/>
      <c r="E17" s="13"/>
      <c r="F17" s="13"/>
      <c r="G17" s="14"/>
    </row>
    <row r="18" spans="1:11" x14ac:dyDescent="0.25">
      <c r="A18" t="s">
        <v>425</v>
      </c>
      <c r="B18" t="s">
        <v>426</v>
      </c>
      <c r="C18" s="9" t="s">
        <v>427</v>
      </c>
      <c r="D18" s="10"/>
      <c r="E18" s="10"/>
      <c r="F18" s="10"/>
      <c r="G18" s="10"/>
      <c r="H18" s="10"/>
      <c r="I18" s="10"/>
      <c r="J18" s="10"/>
      <c r="K18" s="11"/>
    </row>
    <row r="19" spans="1:11" x14ac:dyDescent="0.25">
      <c r="A19" t="s">
        <v>429</v>
      </c>
      <c r="B19" t="s">
        <v>429</v>
      </c>
      <c r="C19" s="12" t="s">
        <v>430</v>
      </c>
      <c r="D19" s="13"/>
      <c r="E19" s="13"/>
      <c r="F19" s="13"/>
      <c r="G19" s="14"/>
    </row>
  </sheetData>
  <mergeCells count="6">
    <mergeCell ref="C13:G13"/>
    <mergeCell ref="C12:G12"/>
    <mergeCell ref="C17:G17"/>
    <mergeCell ref="C18:K18"/>
    <mergeCell ref="C19:G19"/>
    <mergeCell ref="C14:G14"/>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mdCreateSQL">
                <anchor moveWithCells="1" sizeWithCells="1">
                  <from>
                    <xdr:col>0</xdr:col>
                    <xdr:colOff>0</xdr:colOff>
                    <xdr:row>1</xdr:row>
                    <xdr:rowOff>0</xdr:rowOff>
                  </from>
                  <to>
                    <xdr:col>0</xdr:col>
                    <xdr:colOff>2295525</xdr:colOff>
                    <xdr:row>2</xdr:row>
                    <xdr:rowOff>171450</xdr:rowOff>
                  </to>
                </anchor>
              </controlPr>
            </control>
          </mc:Choice>
        </mc:AlternateContent>
        <mc:AlternateContent xmlns:mc="http://schemas.openxmlformats.org/markup-compatibility/2006">
          <mc:Choice Requires="x14">
            <control shapeId="4098" r:id="rId5" name="Button 2">
              <controlPr defaultSize="0" print="0" autoFill="0" autoPict="0" macro="[0]!CmdCreateEntityModel">
                <anchor moveWithCells="1" sizeWithCells="1">
                  <from>
                    <xdr:col>0</xdr:col>
                    <xdr:colOff>0</xdr:colOff>
                    <xdr:row>3</xdr:row>
                    <xdr:rowOff>180975</xdr:rowOff>
                  </from>
                  <to>
                    <xdr:col>0</xdr:col>
                    <xdr:colOff>2295525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FF6BE-F814-41EE-B283-A5F648996D2F}">
  <sheetPr codeName="Tabelle1"/>
  <dimension ref="A1:J28"/>
  <sheetViews>
    <sheetView topLeftCell="A18" workbookViewId="0">
      <selection activeCell="A28" sqref="A28"/>
    </sheetView>
  </sheetViews>
  <sheetFormatPr baseColWidth="10" defaultRowHeight="15" outlineLevelCol="1" x14ac:dyDescent="0.25"/>
  <cols>
    <col min="1" max="1" width="23" bestFit="1" customWidth="1"/>
    <col min="2" max="2" width="101.85546875" customWidth="1" outlineLevel="1"/>
    <col min="3" max="3" width="14" bestFit="1" customWidth="1"/>
    <col min="4" max="4" width="20.5703125" bestFit="1" customWidth="1"/>
    <col min="5" max="5" width="19.7109375" bestFit="1" customWidth="1"/>
    <col min="6" max="6" width="12.140625" bestFit="1" customWidth="1"/>
    <col min="7" max="7" width="12.42578125" customWidth="1"/>
    <col min="8" max="8" width="23" bestFit="1" customWidth="1"/>
    <col min="9" max="9" width="23.28515625" style="1" bestFit="1" customWidth="1"/>
  </cols>
  <sheetData>
    <row r="1" spans="1:10" x14ac:dyDescent="0.25">
      <c r="A1" t="s">
        <v>405</v>
      </c>
      <c r="B1" s="1" t="s">
        <v>3</v>
      </c>
      <c r="C1" t="s">
        <v>23</v>
      </c>
      <c r="D1" t="s">
        <v>375</v>
      </c>
      <c r="E1" t="s">
        <v>377</v>
      </c>
      <c r="F1" t="s">
        <v>383</v>
      </c>
      <c r="G1" t="s">
        <v>407</v>
      </c>
      <c r="H1" t="s">
        <v>403</v>
      </c>
      <c r="I1" t="s">
        <v>404</v>
      </c>
      <c r="J1" t="s">
        <v>275</v>
      </c>
    </row>
    <row r="2" spans="1:10" x14ac:dyDescent="0.25">
      <c r="A2" t="s">
        <v>384</v>
      </c>
      <c r="B2" s="1" t="s">
        <v>97</v>
      </c>
      <c r="C2" t="s">
        <v>158</v>
      </c>
      <c r="E2">
        <v>1</v>
      </c>
      <c r="F2" t="s">
        <v>20</v>
      </c>
      <c r="G2">
        <v>0</v>
      </c>
      <c r="H2" t="str">
        <f>"t"&amp;Tables[[#This Row],[Entity Name]]</f>
        <v>tCurrency</v>
      </c>
      <c r="I2" t="str">
        <f>"v"&amp;Tables[[#This Row],[Entity Name]]</f>
        <v>vCurrency</v>
      </c>
      <c r="J2" t="s">
        <v>274</v>
      </c>
    </row>
    <row r="3" spans="1:10" ht="30" x14ac:dyDescent="0.25">
      <c r="A3" t="s">
        <v>159</v>
      </c>
      <c r="B3" s="1" t="s">
        <v>163</v>
      </c>
      <c r="C3" t="s">
        <v>158</v>
      </c>
      <c r="E3">
        <v>2</v>
      </c>
      <c r="F3" t="s">
        <v>20</v>
      </c>
      <c r="G3">
        <v>0</v>
      </c>
      <c r="H3" t="str">
        <f>"t"&amp;Tables[[#This Row],[Entity Name]]</f>
        <v>tClient</v>
      </c>
      <c r="I3" t="str">
        <f>"v"&amp;Tables[[#This Row],[Entity Name]]</f>
        <v>vClient</v>
      </c>
      <c r="J3" t="s">
        <v>274</v>
      </c>
    </row>
    <row r="4" spans="1:10" x14ac:dyDescent="0.25">
      <c r="A4" t="s">
        <v>533</v>
      </c>
      <c r="B4" s="1" t="s">
        <v>195</v>
      </c>
      <c r="C4" t="s">
        <v>158</v>
      </c>
      <c r="E4">
        <v>3</v>
      </c>
      <c r="F4" t="s">
        <v>20</v>
      </c>
      <c r="G4">
        <v>0</v>
      </c>
      <c r="H4" t="str">
        <f>"t"&amp;Tables[[#This Row],[Entity Name]]</f>
        <v>tTypeCodeDef</v>
      </c>
      <c r="I4" t="str">
        <f>"v"&amp;Tables[[#This Row],[Entity Name]]</f>
        <v>vTypeCodeDef</v>
      </c>
      <c r="J4" t="s">
        <v>535</v>
      </c>
    </row>
    <row r="5" spans="1:10" x14ac:dyDescent="0.25">
      <c r="A5" t="s">
        <v>534</v>
      </c>
      <c r="B5" s="1"/>
      <c r="C5" t="s">
        <v>158</v>
      </c>
      <c r="E5">
        <v>4</v>
      </c>
      <c r="F5" t="s">
        <v>20</v>
      </c>
      <c r="G5">
        <v>0</v>
      </c>
      <c r="H5" t="str">
        <f>"t"&amp;Tables[[#This Row],[Entity Name]]</f>
        <v>tTypeGroupDef</v>
      </c>
      <c r="I5" t="str">
        <f>"v"&amp;Tables[[#This Row],[Entity Name]]</f>
        <v>vTypeGroupDef</v>
      </c>
      <c r="J5" t="s">
        <v>535</v>
      </c>
    </row>
    <row r="6" spans="1:10" ht="30" x14ac:dyDescent="0.25">
      <c r="A6" t="s">
        <v>385</v>
      </c>
      <c r="B6" s="1" t="s">
        <v>172</v>
      </c>
      <c r="C6" t="s">
        <v>159</v>
      </c>
      <c r="D6" s="1" t="s">
        <v>376</v>
      </c>
      <c r="E6" s="1">
        <v>10</v>
      </c>
      <c r="F6" t="s">
        <v>20</v>
      </c>
      <c r="G6">
        <v>0</v>
      </c>
      <c r="H6" s="1" t="str">
        <f>"t"&amp;Tables[[#This Row],[Entity Name]]</f>
        <v>tPlanAccountFunction</v>
      </c>
      <c r="I6" s="1" t="str">
        <f>"v"&amp;Tables[[#This Row],[Entity Name]]</f>
        <v>vPlanAccountFunction</v>
      </c>
      <c r="J6" t="s">
        <v>274</v>
      </c>
    </row>
    <row r="7" spans="1:10" x14ac:dyDescent="0.25">
      <c r="A7" t="s">
        <v>387</v>
      </c>
      <c r="B7" s="1" t="s">
        <v>179</v>
      </c>
      <c r="C7" t="s">
        <v>159</v>
      </c>
      <c r="D7" t="s">
        <v>8</v>
      </c>
      <c r="E7">
        <v>20</v>
      </c>
      <c r="F7" t="s">
        <v>20</v>
      </c>
      <c r="G7">
        <v>0</v>
      </c>
      <c r="H7" t="str">
        <f>"t"&amp;Tables[[#This Row],[Entity Name]]</f>
        <v>tAccountGroup</v>
      </c>
      <c r="I7" t="str">
        <f>"v"&amp;Tables[[#This Row],[Entity Name]]</f>
        <v>vAccountGroup</v>
      </c>
      <c r="J7" t="s">
        <v>274</v>
      </c>
    </row>
    <row r="8" spans="1:10" ht="30" x14ac:dyDescent="0.25">
      <c r="A8" t="s">
        <v>386</v>
      </c>
      <c r="B8" s="1" t="s">
        <v>162</v>
      </c>
      <c r="C8" t="s">
        <v>159</v>
      </c>
      <c r="D8" s="1" t="s">
        <v>527</v>
      </c>
      <c r="E8">
        <v>21</v>
      </c>
      <c r="F8" t="s">
        <v>20</v>
      </c>
      <c r="G8">
        <v>0</v>
      </c>
      <c r="H8" t="str">
        <f>"t"&amp;Tables[[#This Row],[Entity Name]]</f>
        <v>tAccount</v>
      </c>
      <c r="I8" t="str">
        <f>"v"&amp;Tables[[#This Row],[Entity Name]]</f>
        <v>vAccount</v>
      </c>
      <c r="J8" t="s">
        <v>274</v>
      </c>
    </row>
    <row r="9" spans="1:10" x14ac:dyDescent="0.25">
      <c r="A9" t="s">
        <v>388</v>
      </c>
      <c r="B9" s="1" t="s">
        <v>34</v>
      </c>
      <c r="C9" t="s">
        <v>159</v>
      </c>
      <c r="D9" t="s">
        <v>8</v>
      </c>
      <c r="E9">
        <v>22</v>
      </c>
      <c r="F9" t="s">
        <v>20</v>
      </c>
      <c r="G9">
        <v>0</v>
      </c>
      <c r="H9" t="str">
        <f>"t"&amp;Tables[[#This Row],[Entity Name]]</f>
        <v>tCostCenter</v>
      </c>
      <c r="I9" t="str">
        <f>"v"&amp;Tables[[#This Row],[Entity Name]]</f>
        <v>vCostCenter</v>
      </c>
      <c r="J9" t="s">
        <v>274</v>
      </c>
    </row>
    <row r="10" spans="1:10" x14ac:dyDescent="0.25">
      <c r="A10" t="s">
        <v>389</v>
      </c>
      <c r="B10" s="1"/>
      <c r="C10" t="s">
        <v>159</v>
      </c>
      <c r="D10" t="s">
        <v>8</v>
      </c>
      <c r="E10">
        <v>23</v>
      </c>
      <c r="F10" t="s">
        <v>20</v>
      </c>
      <c r="G10">
        <v>0</v>
      </c>
      <c r="H10" t="str">
        <f>"t"&amp;Tables[[#This Row],[Entity Name]]</f>
        <v>tDepreciationRule</v>
      </c>
      <c r="I10" t="str">
        <f>"v"&amp;Tables[[#This Row],[Entity Name]]</f>
        <v>vDepreciationRule</v>
      </c>
      <c r="J10" t="s">
        <v>274</v>
      </c>
    </row>
    <row r="11" spans="1:10" x14ac:dyDescent="0.25">
      <c r="A11" t="s">
        <v>390</v>
      </c>
      <c r="B11" s="1" t="s">
        <v>96</v>
      </c>
      <c r="C11" t="s">
        <v>159</v>
      </c>
      <c r="D11" t="s">
        <v>8</v>
      </c>
      <c r="E11">
        <v>24</v>
      </c>
      <c r="F11" t="s">
        <v>20</v>
      </c>
      <c r="G11">
        <v>0</v>
      </c>
      <c r="H11" t="str">
        <f>"t"&amp;Tables[[#This Row],[Entity Name]]</f>
        <v>tVATRule</v>
      </c>
      <c r="I11" t="str">
        <f>"v"&amp;Tables[[#This Row],[Entity Name]]</f>
        <v>vVATRule</v>
      </c>
      <c r="J11" t="s">
        <v>274</v>
      </c>
    </row>
    <row r="12" spans="1:10" x14ac:dyDescent="0.25">
      <c r="A12" t="s">
        <v>391</v>
      </c>
      <c r="B12" s="1" t="s">
        <v>312</v>
      </c>
      <c r="C12" t="s">
        <v>159</v>
      </c>
      <c r="D12" t="s">
        <v>8</v>
      </c>
      <c r="E12">
        <v>25</v>
      </c>
      <c r="F12" t="s">
        <v>20</v>
      </c>
      <c r="G12">
        <v>0</v>
      </c>
      <c r="H12" t="str">
        <f>"t"&amp;Tables[[#This Row],[Entity Name]]</f>
        <v>tReferenceGroup</v>
      </c>
      <c r="I12" t="str">
        <f>"v"&amp;Tables[[#This Row],[Entity Name]]</f>
        <v>vReferenceGroup</v>
      </c>
      <c r="J12" t="s">
        <v>274</v>
      </c>
    </row>
    <row r="13" spans="1:10" ht="30" x14ac:dyDescent="0.25">
      <c r="A13" t="s">
        <v>328</v>
      </c>
      <c r="B13" s="1" t="s">
        <v>175</v>
      </c>
      <c r="D13" t="s">
        <v>284</v>
      </c>
      <c r="E13">
        <v>26</v>
      </c>
      <c r="F13" t="s">
        <v>20</v>
      </c>
      <c r="G13">
        <v>0</v>
      </c>
      <c r="H13" t="str">
        <f>"t"&amp;Tables[[#This Row],[Entity Name]]</f>
        <v>tReferenceCode</v>
      </c>
      <c r="I13" t="str">
        <f>"v"&amp;Tables[[#This Row],[Entity Name]]</f>
        <v>vReferenceCode</v>
      </c>
      <c r="J13" t="s">
        <v>274</v>
      </c>
    </row>
    <row r="14" spans="1:10" x14ac:dyDescent="0.25">
      <c r="A14" t="s">
        <v>392</v>
      </c>
      <c r="B14" s="1" t="s">
        <v>232</v>
      </c>
      <c r="D14" t="s">
        <v>8</v>
      </c>
      <c r="E14">
        <v>27</v>
      </c>
      <c r="F14" t="s">
        <v>20</v>
      </c>
      <c r="G14">
        <v>0</v>
      </c>
      <c r="H14" t="str">
        <f>"t"&amp;Tables[[#This Row],[Entity Name]]</f>
        <v>tBookingRun</v>
      </c>
      <c r="I14" t="str">
        <f>"v"&amp;Tables[[#This Row],[Entity Name]]</f>
        <v>vBookingRun</v>
      </c>
      <c r="J14" t="s">
        <v>274</v>
      </c>
    </row>
    <row r="15" spans="1:10" ht="45" x14ac:dyDescent="0.25">
      <c r="A15" t="s">
        <v>393</v>
      </c>
      <c r="B15" s="1" t="s">
        <v>36</v>
      </c>
      <c r="D15" t="s">
        <v>8</v>
      </c>
      <c r="E15">
        <v>30</v>
      </c>
      <c r="F15" t="s">
        <v>20</v>
      </c>
      <c r="G15">
        <v>0</v>
      </c>
      <c r="H15" t="str">
        <f>"t"&amp;Tables[[#This Row],[Entity Name]]</f>
        <v>tPlan</v>
      </c>
      <c r="I15" t="str">
        <f>"v"&amp;Tables[[#This Row],[Entity Name]]</f>
        <v>vPlan</v>
      </c>
      <c r="J15" t="s">
        <v>274</v>
      </c>
    </row>
    <row r="16" spans="1:10" ht="60" x14ac:dyDescent="0.25">
      <c r="A16" t="s">
        <v>394</v>
      </c>
      <c r="B16" s="1" t="s">
        <v>50</v>
      </c>
      <c r="D16" t="s">
        <v>8</v>
      </c>
      <c r="E16">
        <v>32</v>
      </c>
      <c r="F16" t="s">
        <v>20</v>
      </c>
      <c r="G16">
        <v>0</v>
      </c>
      <c r="H16" t="str">
        <f>"t"&amp;Tables[[#This Row],[Entity Name]]</f>
        <v>tPlanElement</v>
      </c>
      <c r="I16" t="str">
        <f>"v"&amp;Tables[[#This Row],[Entity Name]]</f>
        <v>vPlanElement</v>
      </c>
      <c r="J16" t="s">
        <v>274</v>
      </c>
    </row>
    <row r="17" spans="1:10" ht="30" x14ac:dyDescent="0.25">
      <c r="A17" t="s">
        <v>395</v>
      </c>
      <c r="B17" s="1" t="s">
        <v>51</v>
      </c>
      <c r="D17" t="s">
        <v>8</v>
      </c>
      <c r="E17">
        <v>31</v>
      </c>
      <c r="F17" t="s">
        <v>20</v>
      </c>
      <c r="G17">
        <v>0</v>
      </c>
      <c r="H17" t="str">
        <f>"t"&amp;Tables[[#This Row],[Entity Name]]</f>
        <v>tPlanGroup</v>
      </c>
      <c r="I17" t="str">
        <f>"v"&amp;Tables[[#This Row],[Entity Name]]</f>
        <v>vPlanGroup</v>
      </c>
      <c r="J17" t="s">
        <v>274</v>
      </c>
    </row>
    <row r="18" spans="1:10" x14ac:dyDescent="0.25">
      <c r="A18" t="s">
        <v>516</v>
      </c>
      <c r="B18" s="1" t="s">
        <v>517</v>
      </c>
      <c r="D18" t="s">
        <v>35</v>
      </c>
      <c r="E18">
        <v>35</v>
      </c>
      <c r="F18" t="s">
        <v>20</v>
      </c>
      <c r="G18">
        <v>0</v>
      </c>
      <c r="H18" s="7" t="str">
        <f>"t"&amp;Tables[[#This Row],[Entity Name]]</f>
        <v>tPlanInflationRule</v>
      </c>
      <c r="I18" s="8" t="str">
        <f>"v"&amp;Tables[[#This Row],[Entity Name]]</f>
        <v>vPlanInflationRule</v>
      </c>
      <c r="J18" t="s">
        <v>274</v>
      </c>
    </row>
    <row r="19" spans="1:10" ht="60" x14ac:dyDescent="0.25">
      <c r="A19" t="s">
        <v>396</v>
      </c>
      <c r="B19" s="1" t="s">
        <v>95</v>
      </c>
      <c r="D19" t="s">
        <v>35</v>
      </c>
      <c r="E19">
        <v>50</v>
      </c>
      <c r="F19" t="s">
        <v>20</v>
      </c>
      <c r="G19">
        <v>0</v>
      </c>
      <c r="H19" t="str">
        <f>"t"&amp;Tables[[#This Row],[Entity Name]]</f>
        <v>tPlanAllocationSchedule</v>
      </c>
      <c r="I19" t="str">
        <f>"v"&amp;Tables[[#This Row],[Entity Name]]</f>
        <v>vPlanAllocationSchedule</v>
      </c>
      <c r="J19" t="s">
        <v>274</v>
      </c>
    </row>
    <row r="20" spans="1:10" x14ac:dyDescent="0.25">
      <c r="A20" t="s">
        <v>484</v>
      </c>
      <c r="B20" s="1" t="s">
        <v>485</v>
      </c>
      <c r="D20" t="s">
        <v>63</v>
      </c>
      <c r="E20">
        <v>51</v>
      </c>
      <c r="F20" t="s">
        <v>20</v>
      </c>
      <c r="G20">
        <v>0</v>
      </c>
      <c r="H20" t="str">
        <f>"t"&amp;Tables[[#This Row],[Entity Name]]</f>
        <v>tPlanAllocationScheduleItems</v>
      </c>
      <c r="I20" t="str">
        <f>"v"&amp;Tables[[#This Row],[Entity Name]]</f>
        <v>vPlanAllocationScheduleItems</v>
      </c>
      <c r="J20" t="s">
        <v>274</v>
      </c>
    </row>
    <row r="21" spans="1:10" ht="30" x14ac:dyDescent="0.25">
      <c r="A21" t="s">
        <v>397</v>
      </c>
      <c r="B21" s="1" t="s">
        <v>127</v>
      </c>
      <c r="D21" s="1" t="s">
        <v>528</v>
      </c>
      <c r="E21">
        <v>55</v>
      </c>
      <c r="F21" t="s">
        <v>20</v>
      </c>
      <c r="G21">
        <v>0</v>
      </c>
      <c r="H21" t="str">
        <f>"t"&amp;Tables[[#This Row],[Entity Name]]</f>
        <v>tPlanElementInstance</v>
      </c>
      <c r="I21" t="str">
        <f>"v"&amp;Tables[[#This Row],[Entity Name]]</f>
        <v>vPlanElementInstance</v>
      </c>
      <c r="J21" t="s">
        <v>274</v>
      </c>
    </row>
    <row r="22" spans="1:10" x14ac:dyDescent="0.25">
      <c r="A22" t="s">
        <v>398</v>
      </c>
      <c r="B22" s="1" t="s">
        <v>120</v>
      </c>
      <c r="D22" t="s">
        <v>35</v>
      </c>
      <c r="E22">
        <v>40</v>
      </c>
      <c r="F22" t="s">
        <v>20</v>
      </c>
      <c r="G22">
        <v>0</v>
      </c>
      <c r="H22" t="str">
        <f>"t"&amp;Tables[[#This Row],[Entity Name]]</f>
        <v>tPlanExchangeRate</v>
      </c>
      <c r="I22" t="str">
        <f>"v"&amp;Tables[[#This Row],[Entity Name]]</f>
        <v>vPlanExchangeRate</v>
      </c>
      <c r="J22" t="s">
        <v>274</v>
      </c>
    </row>
    <row r="23" spans="1:10" ht="45" x14ac:dyDescent="0.25">
      <c r="A23" t="s">
        <v>399</v>
      </c>
      <c r="B23" s="1" t="s">
        <v>151</v>
      </c>
      <c r="D23" t="s">
        <v>35</v>
      </c>
      <c r="E23">
        <v>45</v>
      </c>
      <c r="F23" t="s">
        <v>20</v>
      </c>
      <c r="G23">
        <v>0</v>
      </c>
      <c r="H23" t="str">
        <f>"t"&amp;Tables[[#This Row],[Entity Name]]</f>
        <v>tPlanParameter</v>
      </c>
      <c r="I23" t="str">
        <f>"v"&amp;Tables[[#This Row],[Entity Name]]</f>
        <v>vPlanParameter</v>
      </c>
      <c r="J23" t="s">
        <v>274</v>
      </c>
    </row>
    <row r="24" spans="1:10" ht="30" x14ac:dyDescent="0.25">
      <c r="A24" t="s">
        <v>400</v>
      </c>
      <c r="B24" s="1" t="s">
        <v>177</v>
      </c>
      <c r="D24" t="s">
        <v>35</v>
      </c>
      <c r="E24">
        <v>65</v>
      </c>
      <c r="F24" t="s">
        <v>20</v>
      </c>
      <c r="G24">
        <v>0</v>
      </c>
      <c r="H24" t="str">
        <f>"t"&amp;Tables[[#This Row],[Entity Name]]</f>
        <v>tPlanTransaction</v>
      </c>
      <c r="I24" t="str">
        <f>"v"&amp;Tables[[#This Row],[Entity Name]]</f>
        <v>vPlanTransaction</v>
      </c>
      <c r="J24" t="s">
        <v>274</v>
      </c>
    </row>
    <row r="25" spans="1:10" x14ac:dyDescent="0.25">
      <c r="A25" t="s">
        <v>441</v>
      </c>
      <c r="B25" s="1" t="s">
        <v>52</v>
      </c>
      <c r="D25" t="s">
        <v>126</v>
      </c>
      <c r="E25">
        <v>60</v>
      </c>
      <c r="F25" t="s">
        <v>20</v>
      </c>
      <c r="G25">
        <v>0</v>
      </c>
      <c r="H25" t="str">
        <f>"t"&amp;Tables[[#This Row],[Entity Name]]</f>
        <v>tPlanItemContract</v>
      </c>
      <c r="I25" t="str">
        <f>"v"&amp;Tables[[#This Row],[Entity Name]]</f>
        <v>vPlanItemContract</v>
      </c>
      <c r="J25" t="s">
        <v>274</v>
      </c>
    </row>
    <row r="26" spans="1:10" ht="30" x14ac:dyDescent="0.25">
      <c r="A26" t="s">
        <v>401</v>
      </c>
      <c r="B26" s="1" t="s">
        <v>173</v>
      </c>
      <c r="D26" t="s">
        <v>231</v>
      </c>
      <c r="E26">
        <v>70</v>
      </c>
      <c r="F26" t="s">
        <v>20</v>
      </c>
      <c r="G26">
        <v>0</v>
      </c>
      <c r="H26" t="str">
        <f>"t"&amp;Tables[[#This Row],[Entity Name]]</f>
        <v>tBookRecord</v>
      </c>
      <c r="I26" t="str">
        <f>"v"&amp;Tables[[#This Row],[Entity Name]]</f>
        <v>vBookRecord</v>
      </c>
      <c r="J26" t="s">
        <v>274</v>
      </c>
    </row>
    <row r="27" spans="1:10" ht="30" x14ac:dyDescent="0.25">
      <c r="A27" t="s">
        <v>402</v>
      </c>
      <c r="B27" s="1" t="s">
        <v>174</v>
      </c>
      <c r="D27" t="s">
        <v>169</v>
      </c>
      <c r="E27">
        <v>71</v>
      </c>
      <c r="F27" t="s">
        <v>20</v>
      </c>
      <c r="G27">
        <v>0</v>
      </c>
      <c r="H27" t="str">
        <f>"t"&amp;Tables[[#This Row],[Entity Name]]</f>
        <v>tBookTransaction</v>
      </c>
      <c r="I27" t="str">
        <f>"v"&amp;Tables[[#This Row],[Entity Name]]</f>
        <v>vBookTransaction</v>
      </c>
      <c r="J27" t="s">
        <v>274</v>
      </c>
    </row>
    <row r="28" spans="1:10" x14ac:dyDescent="0.25">
      <c r="A28" t="s">
        <v>553</v>
      </c>
      <c r="B28" s="1" t="s">
        <v>554</v>
      </c>
      <c r="E28">
        <v>100</v>
      </c>
      <c r="F28" t="s">
        <v>20</v>
      </c>
      <c r="G28">
        <v>0</v>
      </c>
      <c r="H28" s="7" t="str">
        <f>"t"&amp;Tables[[#This Row],[Entity Name]]</f>
        <v>tTestGUID</v>
      </c>
      <c r="I28" s="8" t="str">
        <f>"v"&amp;Tables[[#This Row],[Entity Name]]</f>
        <v>vTestGUID</v>
      </c>
      <c r="J28" t="s">
        <v>535</v>
      </c>
    </row>
  </sheetData>
  <dataValidations count="2">
    <dataValidation type="list" allowBlank="1" showInputMessage="1" showErrorMessage="1" sqref="F2:F28" xr:uid="{076D77D5-9704-4063-8413-430C44FC1DFF}">
      <formula1>"Yes"</formula1>
    </dataValidation>
    <dataValidation type="list" allowBlank="1" showInputMessage="1" showErrorMessage="1" sqref="J2:J28" xr:uid="{009E70E0-7798-49BC-9AA7-F1A948EAF37F}">
      <formula1>"CREATE,NEW,UPDATE,PLAN,DELETE"</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2A36-65F0-44B1-9220-CD563E803E02}">
  <sheetPr codeName="Tabelle2"/>
  <dimension ref="A1:V171"/>
  <sheetViews>
    <sheetView tabSelected="1" topLeftCell="A153" zoomScale="90" zoomScaleNormal="90" workbookViewId="0">
      <selection activeCell="F171" sqref="F171"/>
    </sheetView>
  </sheetViews>
  <sheetFormatPr baseColWidth="10" defaultRowHeight="15" outlineLevelCol="1" x14ac:dyDescent="0.25"/>
  <cols>
    <col min="1" max="1" width="5.5703125" customWidth="1"/>
    <col min="2" max="2" width="16.28515625" customWidth="1"/>
    <col min="3" max="3" width="20" customWidth="1"/>
    <col min="4" max="4" width="89" hidden="1" customWidth="1" outlineLevel="1"/>
    <col min="5" max="5" width="17.28515625" bestFit="1" customWidth="1" collapsed="1"/>
    <col min="6" max="6" width="16" bestFit="1" customWidth="1"/>
    <col min="7" max="7" width="7" bestFit="1" customWidth="1"/>
    <col min="8" max="8" width="10.85546875" bestFit="1" customWidth="1"/>
    <col min="9" max="9" width="15.42578125" bestFit="1" customWidth="1"/>
    <col min="10" max="10" width="10" bestFit="1" customWidth="1"/>
    <col min="11" max="11" width="17.7109375" style="1" customWidth="1"/>
    <col min="12" max="12" width="23" bestFit="1" customWidth="1"/>
    <col min="13" max="13" width="17.28515625" bestFit="1" customWidth="1"/>
    <col min="14" max="14" width="17.28515625" customWidth="1"/>
    <col min="15" max="15" width="16.5703125" bestFit="1" customWidth="1"/>
    <col min="16" max="16" width="29" bestFit="1" customWidth="1"/>
    <col min="18" max="19" width="19.42578125" style="1" bestFit="1" customWidth="1"/>
    <col min="20" max="20" width="17.28515625" bestFit="1" customWidth="1"/>
  </cols>
  <sheetData>
    <row r="1" spans="1:22" ht="30" x14ac:dyDescent="0.25">
      <c r="A1" t="s">
        <v>133</v>
      </c>
      <c r="B1" t="s">
        <v>0</v>
      </c>
      <c r="C1" t="s">
        <v>1</v>
      </c>
      <c r="D1" s="1" t="s">
        <v>3</v>
      </c>
      <c r="E1" s="1" t="s">
        <v>31</v>
      </c>
      <c r="F1" s="1" t="s">
        <v>273</v>
      </c>
      <c r="G1" t="s">
        <v>24</v>
      </c>
      <c r="H1" t="s">
        <v>2</v>
      </c>
      <c r="I1" t="s">
        <v>13</v>
      </c>
      <c r="J1" t="s">
        <v>182</v>
      </c>
      <c r="K1" s="1" t="s">
        <v>142</v>
      </c>
      <c r="L1" s="1" t="s">
        <v>463</v>
      </c>
      <c r="M1" t="s">
        <v>464</v>
      </c>
      <c r="N1" t="s">
        <v>465</v>
      </c>
      <c r="O1" t="s">
        <v>153</v>
      </c>
      <c r="P1" t="s">
        <v>48</v>
      </c>
      <c r="Q1" t="s">
        <v>283</v>
      </c>
      <c r="R1" t="s">
        <v>314</v>
      </c>
      <c r="S1" t="s">
        <v>406</v>
      </c>
      <c r="T1" t="s">
        <v>410</v>
      </c>
      <c r="U1" t="s">
        <v>411</v>
      </c>
      <c r="V1" t="s">
        <v>374</v>
      </c>
    </row>
    <row r="2" spans="1:22" x14ac:dyDescent="0.25">
      <c r="A2">
        <v>1</v>
      </c>
      <c r="B2" t="s">
        <v>157</v>
      </c>
      <c r="C2" t="s">
        <v>5</v>
      </c>
      <c r="D2" s="1" t="s">
        <v>188</v>
      </c>
      <c r="E2" t="s">
        <v>16</v>
      </c>
      <c r="F2" t="s">
        <v>4</v>
      </c>
      <c r="G2" s="2"/>
      <c r="L2" s="1" t="s">
        <v>159</v>
      </c>
      <c r="M2" t="str">
        <f>IF(Fields[[#This Row],[Reference Entity]]&lt;&gt;"","t" &amp;Fields[[#This Row],[Reference Entity]],"")</f>
        <v>tClient</v>
      </c>
      <c r="N2" t="str">
        <f>IF(Fields[[#This Row],[Reference Entity]]&lt;&gt;"",RIGHT(Fields[[#This Row],[Column Name]],LEN(Fields[[#This Row],[Column Name]])-2),"")</f>
        <v>Client</v>
      </c>
      <c r="O2" t="s">
        <v>154</v>
      </c>
      <c r="P2" s="1"/>
      <c r="Q2" t="s">
        <v>25</v>
      </c>
      <c r="R2" t="s">
        <v>20</v>
      </c>
      <c r="S2"/>
      <c r="V2" s="1"/>
    </row>
    <row r="3" spans="1:22" ht="30" x14ac:dyDescent="0.25">
      <c r="A3">
        <v>2</v>
      </c>
      <c r="B3" t="s">
        <v>157</v>
      </c>
      <c r="C3" t="s">
        <v>180</v>
      </c>
      <c r="D3" s="1" t="s">
        <v>189</v>
      </c>
      <c r="E3" t="s">
        <v>16</v>
      </c>
      <c r="F3" t="s">
        <v>4</v>
      </c>
      <c r="G3" s="2"/>
      <c r="H3" t="s">
        <v>20</v>
      </c>
      <c r="L3" s="1" t="s">
        <v>387</v>
      </c>
      <c r="M3" t="str">
        <f>IF(Fields[[#This Row],[Reference Entity]]&lt;&gt;"","t" &amp;Fields[[#This Row],[Reference Entity]],"")</f>
        <v>tAccountGroup</v>
      </c>
      <c r="N3" t="str">
        <f>IF(Fields[[#This Row],[Reference Entity]]&lt;&gt;"",RIGHT(Fields[[#This Row],[Column Name]],LEN(Fields[[#This Row],[Column Name]])-2),"")</f>
        <v>AccountGroup</v>
      </c>
      <c r="P3" s="1"/>
      <c r="Q3" t="str">
        <f>Fields[[#This Row],[Column Name]]</f>
        <v>idAccountGroup</v>
      </c>
      <c r="R3"/>
      <c r="S3"/>
      <c r="V3" s="1"/>
    </row>
    <row r="4" spans="1:22" ht="30" x14ac:dyDescent="0.25">
      <c r="A4">
        <v>3</v>
      </c>
      <c r="B4" t="s">
        <v>157</v>
      </c>
      <c r="C4" t="s">
        <v>181</v>
      </c>
      <c r="D4" s="1" t="s">
        <v>190</v>
      </c>
      <c r="E4" t="s">
        <v>16</v>
      </c>
      <c r="F4" t="s">
        <v>4</v>
      </c>
      <c r="G4" s="2"/>
      <c r="H4" t="s">
        <v>20</v>
      </c>
      <c r="L4" s="1" t="s">
        <v>386</v>
      </c>
      <c r="M4" t="str">
        <f>IF(Fields[[#This Row],[Reference Entity]]&lt;&gt;"","t" &amp;Fields[[#This Row],[Reference Entity]],"")</f>
        <v>tAccount</v>
      </c>
      <c r="N4" t="str">
        <f>IF(Fields[[#This Row],[Reference Entity]]&lt;&gt;"",RIGHT(Fields[[#This Row],[Column Name]],LEN(Fields[[#This Row],[Column Name]])-2),"")</f>
        <v>AccountReporting</v>
      </c>
      <c r="P4" s="1"/>
      <c r="Q4" t="str">
        <f>Fields[[#This Row],[Column Name]]</f>
        <v>idAccountReporting</v>
      </c>
      <c r="R4"/>
      <c r="S4"/>
      <c r="U4" t="s">
        <v>439</v>
      </c>
      <c r="V4" s="1"/>
    </row>
    <row r="5" spans="1:22" x14ac:dyDescent="0.25">
      <c r="A5">
        <v>4</v>
      </c>
      <c r="B5" t="s">
        <v>157</v>
      </c>
      <c r="C5" t="s">
        <v>323</v>
      </c>
      <c r="D5" s="1" t="s">
        <v>191</v>
      </c>
      <c r="E5" t="s">
        <v>16</v>
      </c>
      <c r="F5" t="s">
        <v>4</v>
      </c>
      <c r="G5" s="2"/>
      <c r="J5" s="4" t="s">
        <v>183</v>
      </c>
      <c r="L5" s="1" t="s">
        <v>440</v>
      </c>
      <c r="M5" t="str">
        <f>IF(Fields[[#This Row],[Reference Entity]]&lt;&gt;"","t" &amp;Fields[[#This Row],[Reference Entity]],"")</f>
        <v/>
      </c>
      <c r="N5" t="str">
        <f>IF(Fields[[#This Row],[Reference Entity]]&lt;&gt;"",RIGHT(Fields[[#This Row],[Column Name]],LEN(Fields[[#This Row],[Column Name]])-2),"")</f>
        <v/>
      </c>
      <c r="P5" s="1"/>
      <c r="Q5" t="s">
        <v>25</v>
      </c>
      <c r="R5" t="s">
        <v>20</v>
      </c>
      <c r="S5"/>
      <c r="V5" s="1"/>
    </row>
    <row r="6" spans="1:22" ht="90" x14ac:dyDescent="0.25">
      <c r="A6">
        <v>5</v>
      </c>
      <c r="B6" t="s">
        <v>157</v>
      </c>
      <c r="C6" t="s">
        <v>184</v>
      </c>
      <c r="D6" s="1" t="s">
        <v>192</v>
      </c>
      <c r="E6" t="s">
        <v>134</v>
      </c>
      <c r="F6" t="s">
        <v>271</v>
      </c>
      <c r="G6" s="2"/>
      <c r="I6">
        <v>0</v>
      </c>
      <c r="K6" s="5" t="s">
        <v>185</v>
      </c>
      <c r="L6" s="1" t="s">
        <v>440</v>
      </c>
      <c r="M6" t="str">
        <f>IF(Fields[[#This Row],[Reference Entity]]&lt;&gt;"","t" &amp;Fields[[#This Row],[Reference Entity]],"")</f>
        <v/>
      </c>
      <c r="N6" t="str">
        <f>IF(Fields[[#This Row],[Reference Entity]]&lt;&gt;"",RIGHT(Fields[[#This Row],[Column Name]],LEN(Fields[[#This Row],[Column Name]])-2),"")</f>
        <v/>
      </c>
      <c r="P6" s="1"/>
      <c r="R6"/>
      <c r="S6"/>
      <c r="V6" s="1"/>
    </row>
    <row r="7" spans="1:22" x14ac:dyDescent="0.25">
      <c r="A7">
        <v>6</v>
      </c>
      <c r="B7" t="s">
        <v>157</v>
      </c>
      <c r="C7" t="s">
        <v>363</v>
      </c>
      <c r="D7" s="1" t="s">
        <v>193</v>
      </c>
      <c r="E7" t="s">
        <v>19</v>
      </c>
      <c r="F7" t="s">
        <v>277</v>
      </c>
      <c r="G7" s="2">
        <v>50</v>
      </c>
      <c r="L7" s="1" t="s">
        <v>440</v>
      </c>
      <c r="M7" t="str">
        <f>IF(Fields[[#This Row],[Reference Entity]]&lt;&gt;"","t" &amp;Fields[[#This Row],[Reference Entity]],"")</f>
        <v/>
      </c>
      <c r="N7" t="str">
        <f>IF(Fields[[#This Row],[Reference Entity]]&lt;&gt;"",RIGHT(Fields[[#This Row],[Column Name]],LEN(Fields[[#This Row],[Column Name]])-2),"")</f>
        <v/>
      </c>
      <c r="P7" s="1"/>
      <c r="R7"/>
      <c r="S7"/>
      <c r="V7" s="1"/>
    </row>
    <row r="8" spans="1:22" x14ac:dyDescent="0.25">
      <c r="A8">
        <v>7</v>
      </c>
      <c r="B8" t="s">
        <v>157</v>
      </c>
      <c r="C8" t="s">
        <v>361</v>
      </c>
      <c r="D8" s="1" t="s">
        <v>194</v>
      </c>
      <c r="E8" t="s">
        <v>19</v>
      </c>
      <c r="F8" t="s">
        <v>277</v>
      </c>
      <c r="G8" s="2">
        <v>50</v>
      </c>
      <c r="H8" t="s">
        <v>20</v>
      </c>
      <c r="L8" s="1" t="s">
        <v>440</v>
      </c>
      <c r="M8" t="str">
        <f>IF(Fields[[#This Row],[Reference Entity]]&lt;&gt;"","t" &amp;Fields[[#This Row],[Reference Entity]],"")</f>
        <v/>
      </c>
      <c r="N8" t="str">
        <f>IF(Fields[[#This Row],[Reference Entity]]&lt;&gt;"",RIGHT(Fields[[#This Row],[Column Name]],LEN(Fields[[#This Row],[Column Name]])-2),"")</f>
        <v/>
      </c>
      <c r="P8" s="1"/>
      <c r="R8"/>
      <c r="S8"/>
      <c r="V8" s="1"/>
    </row>
    <row r="9" spans="1:22" x14ac:dyDescent="0.25">
      <c r="A9">
        <v>8</v>
      </c>
      <c r="B9" t="s">
        <v>157</v>
      </c>
      <c r="C9" t="s">
        <v>186</v>
      </c>
      <c r="D9" s="1" t="s">
        <v>187</v>
      </c>
      <c r="E9" t="s">
        <v>18</v>
      </c>
      <c r="F9" t="s">
        <v>6</v>
      </c>
      <c r="G9" s="2"/>
      <c r="I9">
        <v>0</v>
      </c>
      <c r="L9" s="1" t="s">
        <v>440</v>
      </c>
      <c r="M9" t="str">
        <f>IF(Fields[[#This Row],[Reference Entity]]&lt;&gt;"","t" &amp;Fields[[#This Row],[Reference Entity]],"")</f>
        <v/>
      </c>
      <c r="N9" t="str">
        <f>IF(Fields[[#This Row],[Reference Entity]]&lt;&gt;"",RIGHT(Fields[[#This Row],[Column Name]],LEN(Fields[[#This Row],[Column Name]])-2),"")</f>
        <v/>
      </c>
      <c r="P9" s="1"/>
      <c r="R9"/>
      <c r="S9"/>
      <c r="V9" s="1"/>
    </row>
    <row r="10" spans="1:22" x14ac:dyDescent="0.25">
      <c r="A10">
        <v>1</v>
      </c>
      <c r="B10" t="s">
        <v>178</v>
      </c>
      <c r="C10" t="s">
        <v>5</v>
      </c>
      <c r="D10" s="1" t="s">
        <v>188</v>
      </c>
      <c r="E10" t="s">
        <v>16</v>
      </c>
      <c r="F10" t="s">
        <v>4</v>
      </c>
      <c r="G10" s="2"/>
      <c r="L10" s="1" t="s">
        <v>159</v>
      </c>
      <c r="M10" t="str">
        <f>IF(Fields[[#This Row],[Reference Entity]]&lt;&gt;"","t" &amp;Fields[[#This Row],[Reference Entity]],"")</f>
        <v>tClient</v>
      </c>
      <c r="N10" t="str">
        <f>IF(Fields[[#This Row],[Reference Entity]]&lt;&gt;"",RIGHT(Fields[[#This Row],[Column Name]],LEN(Fields[[#This Row],[Column Name]])-2),"")</f>
        <v>Client</v>
      </c>
      <c r="O10" t="s">
        <v>154</v>
      </c>
      <c r="P10" s="1"/>
      <c r="Q10" t="str">
        <f>Fields[[#This Row],[Column Name]]</f>
        <v>idClient</v>
      </c>
      <c r="R10"/>
      <c r="S10"/>
      <c r="V10" s="1"/>
    </row>
    <row r="11" spans="1:22" x14ac:dyDescent="0.25">
      <c r="A11">
        <v>2</v>
      </c>
      <c r="B11" t="s">
        <v>178</v>
      </c>
      <c r="C11" t="s">
        <v>364</v>
      </c>
      <c r="D11" s="1" t="s">
        <v>193</v>
      </c>
      <c r="E11" t="s">
        <v>19</v>
      </c>
      <c r="F11" t="s">
        <v>277</v>
      </c>
      <c r="G11" s="2">
        <v>50</v>
      </c>
      <c r="J11" s="1"/>
      <c r="L11" s="1" t="s">
        <v>440</v>
      </c>
      <c r="M11" t="str">
        <f>IF(Fields[[#This Row],[Reference Entity]]&lt;&gt;"","t" &amp;Fields[[#This Row],[Reference Entity]],"")</f>
        <v/>
      </c>
      <c r="N11" t="str">
        <f>IF(Fields[[#This Row],[Reference Entity]]&lt;&gt;"",RIGHT(Fields[[#This Row],[Column Name]],LEN(Fields[[#This Row],[Column Name]])-2),"")</f>
        <v/>
      </c>
      <c r="P11" s="1"/>
      <c r="Q11" s="1"/>
      <c r="T11" s="1"/>
      <c r="U11" s="1"/>
    </row>
    <row r="12" spans="1:22" x14ac:dyDescent="0.25">
      <c r="A12">
        <v>3</v>
      </c>
      <c r="B12" t="s">
        <v>178</v>
      </c>
      <c r="C12" t="s">
        <v>362</v>
      </c>
      <c r="D12" s="1" t="s">
        <v>194</v>
      </c>
      <c r="E12" t="s">
        <v>19</v>
      </c>
      <c r="F12" t="s">
        <v>277</v>
      </c>
      <c r="G12" s="2">
        <v>50</v>
      </c>
      <c r="J12" s="1"/>
      <c r="L12" s="1" t="s">
        <v>440</v>
      </c>
      <c r="M12" t="str">
        <f>IF(Fields[[#This Row],[Reference Entity]]&lt;&gt;"","t" &amp;Fields[[#This Row],[Reference Entity]],"")</f>
        <v/>
      </c>
      <c r="N12" t="str">
        <f>IF(Fields[[#This Row],[Reference Entity]]&lt;&gt;"",RIGHT(Fields[[#This Row],[Column Name]],LEN(Fields[[#This Row],[Column Name]])-2),"")</f>
        <v/>
      </c>
      <c r="P12" s="1"/>
      <c r="Q12" s="1"/>
      <c r="T12" s="1"/>
      <c r="U12" s="1"/>
    </row>
    <row r="13" spans="1:22" x14ac:dyDescent="0.25">
      <c r="A13">
        <v>1</v>
      </c>
      <c r="B13" t="s">
        <v>231</v>
      </c>
      <c r="C13" t="s">
        <v>5</v>
      </c>
      <c r="D13" s="1" t="s">
        <v>188</v>
      </c>
      <c r="E13" t="s">
        <v>16</v>
      </c>
      <c r="F13" t="s">
        <v>4</v>
      </c>
      <c r="G13" s="2"/>
      <c r="L13" s="1" t="s">
        <v>159</v>
      </c>
      <c r="M13" t="str">
        <f>IF(Fields[[#This Row],[Reference Entity]]&lt;&gt;"","t" &amp;Fields[[#This Row],[Reference Entity]],"")</f>
        <v>tClient</v>
      </c>
      <c r="N13" t="str">
        <f>IF(Fields[[#This Row],[Reference Entity]]&lt;&gt;"",RIGHT(Fields[[#This Row],[Column Name]],LEN(Fields[[#This Row],[Column Name]])-2),"")</f>
        <v>Client</v>
      </c>
      <c r="O13" t="s">
        <v>154</v>
      </c>
      <c r="P13" s="1"/>
      <c r="Q13" t="str">
        <f>Fields[[#This Row],[Column Name]]</f>
        <v>idClient</v>
      </c>
      <c r="R13"/>
      <c r="S13"/>
      <c r="V13" s="1"/>
    </row>
    <row r="14" spans="1:22" x14ac:dyDescent="0.25">
      <c r="A14">
        <v>2</v>
      </c>
      <c r="B14" t="s">
        <v>231</v>
      </c>
      <c r="C14" t="s">
        <v>324</v>
      </c>
      <c r="D14" s="1" t="s">
        <v>263</v>
      </c>
      <c r="E14" t="s">
        <v>19</v>
      </c>
      <c r="F14" t="s">
        <v>277</v>
      </c>
      <c r="G14" s="2">
        <v>20</v>
      </c>
      <c r="J14" s="1"/>
      <c r="L14" s="1" t="s">
        <v>440</v>
      </c>
      <c r="M14" t="str">
        <f>IF(Fields[[#This Row],[Reference Entity]]&lt;&gt;"","t" &amp;Fields[[#This Row],[Reference Entity]],"")</f>
        <v/>
      </c>
      <c r="N14" t="str">
        <f>IF(Fields[[#This Row],[Reference Entity]]&lt;&gt;"",RIGHT(Fields[[#This Row],[Column Name]],LEN(Fields[[#This Row],[Column Name]])-2),"")</f>
        <v/>
      </c>
      <c r="P14" s="1"/>
      <c r="Q14" s="1"/>
      <c r="T14" s="1"/>
      <c r="U14" s="1"/>
    </row>
    <row r="15" spans="1:22" x14ac:dyDescent="0.25">
      <c r="A15">
        <v>3</v>
      </c>
      <c r="B15" t="s">
        <v>231</v>
      </c>
      <c r="C15" t="s">
        <v>264</v>
      </c>
      <c r="D15" s="1" t="s">
        <v>267</v>
      </c>
      <c r="E15" t="s">
        <v>30</v>
      </c>
      <c r="F15" t="s">
        <v>4</v>
      </c>
      <c r="G15" s="2"/>
      <c r="J15" s="1"/>
      <c r="L15" s="1" t="s">
        <v>440</v>
      </c>
      <c r="M15" t="str">
        <f>IF(Fields[[#This Row],[Reference Entity]]&lt;&gt;"","t" &amp;Fields[[#This Row],[Reference Entity]],"")</f>
        <v/>
      </c>
      <c r="N15" t="str">
        <f>IF(Fields[[#This Row],[Reference Entity]]&lt;&gt;"",RIGHT(Fields[[#This Row],[Column Name]],LEN(Fields[[#This Row],[Column Name]])-2),"")</f>
        <v/>
      </c>
      <c r="P15" s="1"/>
      <c r="Q15" s="1"/>
      <c r="T15" s="1"/>
      <c r="U15" s="1"/>
    </row>
    <row r="16" spans="1:22" x14ac:dyDescent="0.25">
      <c r="A16">
        <v>4</v>
      </c>
      <c r="B16" t="s">
        <v>231</v>
      </c>
      <c r="C16" t="s">
        <v>265</v>
      </c>
      <c r="D16" s="1" t="s">
        <v>268</v>
      </c>
      <c r="E16" t="s">
        <v>134</v>
      </c>
      <c r="F16" t="s">
        <v>271</v>
      </c>
      <c r="G16" s="2"/>
      <c r="J16" s="1"/>
      <c r="L16" s="1" t="s">
        <v>440</v>
      </c>
      <c r="M16" t="str">
        <f>IF(Fields[[#This Row],[Reference Entity]]&lt;&gt;"","t" &amp;Fields[[#This Row],[Reference Entity]],"")</f>
        <v/>
      </c>
      <c r="N16" t="str">
        <f>IF(Fields[[#This Row],[Reference Entity]]&lt;&gt;"",RIGHT(Fields[[#This Row],[Column Name]],LEN(Fields[[#This Row],[Column Name]])-2),"")</f>
        <v/>
      </c>
      <c r="P16" s="1"/>
      <c r="Q16" s="1"/>
      <c r="T16" s="1"/>
      <c r="U16" s="1"/>
    </row>
    <row r="17" spans="1:22" x14ac:dyDescent="0.25">
      <c r="A17">
        <v>5</v>
      </c>
      <c r="B17" t="s">
        <v>231</v>
      </c>
      <c r="C17" t="s">
        <v>266</v>
      </c>
      <c r="D17" s="1" t="s">
        <v>269</v>
      </c>
      <c r="E17" t="s">
        <v>30</v>
      </c>
      <c r="F17" t="s">
        <v>4</v>
      </c>
      <c r="G17" s="2"/>
      <c r="J17" s="1"/>
      <c r="L17" s="1" t="s">
        <v>440</v>
      </c>
      <c r="M17" t="str">
        <f>IF(Fields[[#This Row],[Reference Entity]]&lt;&gt;"","t" &amp;Fields[[#This Row],[Reference Entity]],"")</f>
        <v/>
      </c>
      <c r="N17" t="str">
        <f>IF(Fields[[#This Row],[Reference Entity]]&lt;&gt;"",RIGHT(Fields[[#This Row],[Column Name]],LEN(Fields[[#This Row],[Column Name]])-2),"")</f>
        <v/>
      </c>
      <c r="P17" s="1"/>
      <c r="Q17" s="1"/>
      <c r="T17" s="1"/>
      <c r="U17" s="1"/>
    </row>
    <row r="18" spans="1:22" x14ac:dyDescent="0.25">
      <c r="A18">
        <v>6</v>
      </c>
      <c r="B18" t="s">
        <v>231</v>
      </c>
      <c r="C18" t="s">
        <v>347</v>
      </c>
      <c r="D18" s="1" t="s">
        <v>270</v>
      </c>
      <c r="E18" t="s">
        <v>19</v>
      </c>
      <c r="F18" t="s">
        <v>277</v>
      </c>
      <c r="G18" s="2">
        <v>50</v>
      </c>
      <c r="H18" t="s">
        <v>20</v>
      </c>
      <c r="J18" s="1"/>
      <c r="L18" s="1" t="s">
        <v>440</v>
      </c>
      <c r="M18" t="str">
        <f>IF(Fields[[#This Row],[Reference Entity]]&lt;&gt;"","t" &amp;Fields[[#This Row],[Reference Entity]],"")</f>
        <v/>
      </c>
      <c r="N18" t="str">
        <f>IF(Fields[[#This Row],[Reference Entity]]&lt;&gt;"",RIGHT(Fields[[#This Row],[Column Name]],LEN(Fields[[#This Row],[Column Name]])-2),"")</f>
        <v/>
      </c>
      <c r="P18" s="1"/>
      <c r="Q18" s="1"/>
      <c r="T18" s="1"/>
      <c r="U18" s="1"/>
    </row>
    <row r="19" spans="1:22" x14ac:dyDescent="0.25">
      <c r="A19">
        <v>1</v>
      </c>
      <c r="B19" t="s">
        <v>169</v>
      </c>
      <c r="C19" t="s">
        <v>5</v>
      </c>
      <c r="D19" s="1" t="s">
        <v>188</v>
      </c>
      <c r="E19" t="s">
        <v>16</v>
      </c>
      <c r="F19" t="s">
        <v>4</v>
      </c>
      <c r="G19" s="2"/>
      <c r="L19" s="1" t="s">
        <v>159</v>
      </c>
      <c r="M19" t="str">
        <f>IF(Fields[[#This Row],[Reference Entity]]&lt;&gt;"","t" &amp;Fields[[#This Row],[Reference Entity]],"")</f>
        <v>tClient</v>
      </c>
      <c r="N19" t="str">
        <f>IF(Fields[[#This Row],[Reference Entity]]&lt;&gt;"",RIGHT(Fields[[#This Row],[Column Name]],LEN(Fields[[#This Row],[Column Name]])-2),"")</f>
        <v>Client</v>
      </c>
      <c r="P19" s="1"/>
      <c r="Q19" t="str">
        <f>Fields[[#This Row],[Column Name]]</f>
        <v>idClient</v>
      </c>
      <c r="R19"/>
      <c r="S19"/>
      <c r="V19" s="1"/>
    </row>
    <row r="20" spans="1:22" x14ac:dyDescent="0.25">
      <c r="A20">
        <v>2</v>
      </c>
      <c r="B20" t="s">
        <v>169</v>
      </c>
      <c r="C20" t="s">
        <v>315</v>
      </c>
      <c r="D20" s="1" t="s">
        <v>316</v>
      </c>
      <c r="E20" t="s">
        <v>18</v>
      </c>
      <c r="F20" t="s">
        <v>6</v>
      </c>
      <c r="G20" s="2"/>
      <c r="I20">
        <v>0</v>
      </c>
      <c r="L20" s="1" t="s">
        <v>440</v>
      </c>
      <c r="M20" t="str">
        <f>IF(Fields[[#This Row],[Reference Entity]]&lt;&gt;"","t" &amp;Fields[[#This Row],[Reference Entity]],"")</f>
        <v/>
      </c>
      <c r="N20" t="str">
        <f>IF(Fields[[#This Row],[Reference Entity]]&lt;&gt;"",RIGHT(Fields[[#This Row],[Column Name]],LEN(Fields[[#This Row],[Column Name]])-2),"")</f>
        <v/>
      </c>
      <c r="P20" s="1"/>
      <c r="R20"/>
      <c r="S20"/>
      <c r="V20" s="1"/>
    </row>
    <row r="21" spans="1:22" x14ac:dyDescent="0.25">
      <c r="A21">
        <v>3</v>
      </c>
      <c r="B21" t="s">
        <v>169</v>
      </c>
      <c r="C21" t="s">
        <v>317</v>
      </c>
      <c r="D21" s="1" t="s">
        <v>318</v>
      </c>
      <c r="E21" t="s">
        <v>17</v>
      </c>
      <c r="F21" t="s">
        <v>449</v>
      </c>
      <c r="G21" s="2"/>
      <c r="H21" t="s">
        <v>20</v>
      </c>
      <c r="L21" s="1" t="s">
        <v>440</v>
      </c>
      <c r="M21" t="str">
        <f>IF(Fields[[#This Row],[Reference Entity]]&lt;&gt;"","t" &amp;Fields[[#This Row],[Reference Entity]],"")</f>
        <v/>
      </c>
      <c r="N21" t="str">
        <f>IF(Fields[[#This Row],[Reference Entity]]&lt;&gt;"",RIGHT(Fields[[#This Row],[Column Name]],LEN(Fields[[#This Row],[Column Name]])-2),"")</f>
        <v/>
      </c>
      <c r="P21" s="1"/>
      <c r="R21"/>
      <c r="S21"/>
      <c r="V21" s="1"/>
    </row>
    <row r="22" spans="1:22" ht="45" x14ac:dyDescent="0.25">
      <c r="A22">
        <v>4</v>
      </c>
      <c r="B22" t="s">
        <v>169</v>
      </c>
      <c r="C22" t="s">
        <v>365</v>
      </c>
      <c r="D22" s="1" t="s">
        <v>233</v>
      </c>
      <c r="E22" t="s">
        <v>134</v>
      </c>
      <c r="F22" t="s">
        <v>271</v>
      </c>
      <c r="G22" s="2"/>
      <c r="I22">
        <v>0</v>
      </c>
      <c r="J22" s="1"/>
      <c r="K22" s="5" t="s">
        <v>222</v>
      </c>
      <c r="L22" s="1" t="s">
        <v>440</v>
      </c>
      <c r="M22" t="str">
        <f>IF(Fields[[#This Row],[Reference Entity]]&lt;&gt;"","t" &amp;Fields[[#This Row],[Reference Entity]],"")</f>
        <v/>
      </c>
      <c r="N22" t="str">
        <f>IF(Fields[[#This Row],[Reference Entity]]&lt;&gt;"",RIGHT(Fields[[#This Row],[Column Name]],LEN(Fields[[#This Row],[Column Name]])-2),"")</f>
        <v/>
      </c>
      <c r="P22" s="1"/>
      <c r="Q22" s="1"/>
      <c r="T22" s="1"/>
      <c r="U22" s="1"/>
    </row>
    <row r="23" spans="1:22" x14ac:dyDescent="0.25">
      <c r="A23">
        <v>5</v>
      </c>
      <c r="B23" t="s">
        <v>169</v>
      </c>
      <c r="C23" t="s">
        <v>218</v>
      </c>
      <c r="D23" s="1" t="s">
        <v>234</v>
      </c>
      <c r="E23" t="s">
        <v>16</v>
      </c>
      <c r="F23" t="s">
        <v>4</v>
      </c>
      <c r="G23" s="2"/>
      <c r="J23" s="1"/>
      <c r="L23" s="1" t="s">
        <v>386</v>
      </c>
      <c r="M23" t="str">
        <f>IF(Fields[[#This Row],[Reference Entity]]&lt;&gt;"","t" &amp;Fields[[#This Row],[Reference Entity]],"")</f>
        <v>tAccount</v>
      </c>
      <c r="N23" t="str">
        <f>IF(Fields[[#This Row],[Reference Entity]]&lt;&gt;"",RIGHT(Fields[[#This Row],[Column Name]],LEN(Fields[[#This Row],[Column Name]])-2),"")</f>
        <v>AccountDebit</v>
      </c>
      <c r="P23" s="1"/>
      <c r="Q23" t="str">
        <f>Fields[[#This Row],[Column Name]]</f>
        <v>idAccountDebit</v>
      </c>
      <c r="S23"/>
      <c r="U23" t="s">
        <v>437</v>
      </c>
    </row>
    <row r="24" spans="1:22" x14ac:dyDescent="0.25">
      <c r="A24">
        <v>6</v>
      </c>
      <c r="B24" t="s">
        <v>169</v>
      </c>
      <c r="C24" t="s">
        <v>219</v>
      </c>
      <c r="D24" s="1" t="s">
        <v>235</v>
      </c>
      <c r="E24" t="s">
        <v>16</v>
      </c>
      <c r="F24" t="s">
        <v>4</v>
      </c>
      <c r="G24" s="2"/>
      <c r="J24" s="1"/>
      <c r="L24" s="1" t="s">
        <v>386</v>
      </c>
      <c r="M24" t="str">
        <f>IF(Fields[[#This Row],[Reference Entity]]&lt;&gt;"","t" &amp;Fields[[#This Row],[Reference Entity]],"")</f>
        <v>tAccount</v>
      </c>
      <c r="N24" t="str">
        <f>IF(Fields[[#This Row],[Reference Entity]]&lt;&gt;"",RIGHT(Fields[[#This Row],[Column Name]],LEN(Fields[[#This Row],[Column Name]])-2),"")</f>
        <v>AccountCredit</v>
      </c>
      <c r="P24" s="1"/>
      <c r="Q24" t="str">
        <f>Fields[[#This Row],[Column Name]]</f>
        <v>idAccountCredit</v>
      </c>
      <c r="S24"/>
      <c r="U24" t="s">
        <v>438</v>
      </c>
    </row>
    <row r="25" spans="1:22" x14ac:dyDescent="0.25">
      <c r="A25">
        <v>7</v>
      </c>
      <c r="B25" t="s">
        <v>169</v>
      </c>
      <c r="C25" t="s">
        <v>340</v>
      </c>
      <c r="D25" s="1" t="s">
        <v>236</v>
      </c>
      <c r="E25" t="s">
        <v>16</v>
      </c>
      <c r="F25" t="s">
        <v>4</v>
      </c>
      <c r="G25" s="2"/>
      <c r="H25" t="s">
        <v>20</v>
      </c>
      <c r="J25" s="1"/>
      <c r="L25" s="1" t="s">
        <v>388</v>
      </c>
      <c r="M25" t="str">
        <f>IF(Fields[[#This Row],[Reference Entity]]&lt;&gt;"","t" &amp;Fields[[#This Row],[Reference Entity]],"")</f>
        <v>tCostCenter</v>
      </c>
      <c r="N25" t="str">
        <f>IF(Fields[[#This Row],[Reference Entity]]&lt;&gt;"",RIGHT(Fields[[#This Row],[Column Name]],LEN(Fields[[#This Row],[Column Name]])-2),"")</f>
        <v>CostCenterBookRecord</v>
      </c>
      <c r="P25" s="1"/>
      <c r="Q25" t="str">
        <f>Fields[[#This Row],[Column Name]]</f>
        <v>idCostCenterBookRecord</v>
      </c>
      <c r="S25"/>
    </row>
    <row r="26" spans="1:22" x14ac:dyDescent="0.25">
      <c r="A26">
        <v>8</v>
      </c>
      <c r="B26" t="s">
        <v>169</v>
      </c>
      <c r="C26" t="s">
        <v>220</v>
      </c>
      <c r="D26" s="1" t="s">
        <v>237</v>
      </c>
      <c r="E26" t="s">
        <v>16</v>
      </c>
      <c r="F26" t="s">
        <v>4</v>
      </c>
      <c r="G26" s="2"/>
      <c r="H26" t="s">
        <v>20</v>
      </c>
      <c r="J26" s="1"/>
      <c r="L26" s="1" t="s">
        <v>392</v>
      </c>
      <c r="M26" t="str">
        <f>IF(Fields[[#This Row],[Reference Entity]]&lt;&gt;"","t" &amp;Fields[[#This Row],[Reference Entity]],"")</f>
        <v>tBookingRun</v>
      </c>
      <c r="N26" t="str">
        <f>IF(Fields[[#This Row],[Reference Entity]]&lt;&gt;"",RIGHT(Fields[[#This Row],[Column Name]],LEN(Fields[[#This Row],[Column Name]])-2),"")</f>
        <v>BookingRun</v>
      </c>
      <c r="O26" t="s">
        <v>154</v>
      </c>
      <c r="P26" s="1"/>
      <c r="Q26" t="str">
        <f>Fields[[#This Row],[Column Name]]</f>
        <v>idBookingRun</v>
      </c>
      <c r="S26"/>
    </row>
    <row r="27" spans="1:22" x14ac:dyDescent="0.25">
      <c r="A27">
        <v>9</v>
      </c>
      <c r="B27" t="s">
        <v>169</v>
      </c>
      <c r="C27" t="s">
        <v>221</v>
      </c>
      <c r="D27" s="1" t="s">
        <v>238</v>
      </c>
      <c r="E27" t="s">
        <v>16</v>
      </c>
      <c r="F27" t="s">
        <v>4</v>
      </c>
      <c r="G27" s="2"/>
      <c r="H27" t="s">
        <v>20</v>
      </c>
      <c r="J27" s="1"/>
      <c r="L27" s="1" t="s">
        <v>440</v>
      </c>
      <c r="M27" t="str">
        <f>IF(Fields[[#This Row],[Reference Entity]]&lt;&gt;"","t" &amp;Fields[[#This Row],[Reference Entity]],"")</f>
        <v/>
      </c>
      <c r="N27" t="str">
        <f>IF(Fields[[#This Row],[Reference Entity]]&lt;&gt;"",RIGHT(Fields[[#This Row],[Column Name]],LEN(Fields[[#This Row],[Column Name]])-2),"")</f>
        <v/>
      </c>
      <c r="P27" s="1"/>
      <c r="Q27" s="1"/>
      <c r="T27" s="1"/>
      <c r="U27" s="1"/>
    </row>
    <row r="28" spans="1:22" x14ac:dyDescent="0.25">
      <c r="A28">
        <v>10</v>
      </c>
      <c r="B28" t="s">
        <v>169</v>
      </c>
      <c r="C28" t="s">
        <v>223</v>
      </c>
      <c r="D28" s="1" t="s">
        <v>239</v>
      </c>
      <c r="E28" t="s">
        <v>16</v>
      </c>
      <c r="F28" t="s">
        <v>4</v>
      </c>
      <c r="G28" s="2"/>
      <c r="H28" t="s">
        <v>20</v>
      </c>
      <c r="J28" s="1"/>
      <c r="L28" s="1" t="s">
        <v>397</v>
      </c>
      <c r="M28" t="str">
        <f>IF(Fields[[#This Row],[Reference Entity]]&lt;&gt;"","t" &amp;Fields[[#This Row],[Reference Entity]],"")</f>
        <v>tPlanElementInstance</v>
      </c>
      <c r="N28" t="str">
        <f>IF(Fields[[#This Row],[Reference Entity]]&lt;&gt;"",RIGHT(Fields[[#This Row],[Column Name]],LEN(Fields[[#This Row],[Column Name]])-2),"")</f>
        <v>PlanElementInstance</v>
      </c>
      <c r="P28" s="1"/>
      <c r="Q28" t="str">
        <f>Fields[[#This Row],[Column Name]]</f>
        <v>idPlanElementInstance</v>
      </c>
      <c r="S28"/>
    </row>
    <row r="29" spans="1:22" x14ac:dyDescent="0.25">
      <c r="A29">
        <v>11</v>
      </c>
      <c r="B29" t="s">
        <v>169</v>
      </c>
      <c r="C29" t="s">
        <v>348</v>
      </c>
      <c r="D29" s="1" t="s">
        <v>240</v>
      </c>
      <c r="E29" t="s">
        <v>19</v>
      </c>
      <c r="F29" t="s">
        <v>277</v>
      </c>
      <c r="G29" s="2">
        <v>255</v>
      </c>
      <c r="J29" s="1"/>
      <c r="L29" s="1" t="s">
        <v>440</v>
      </c>
      <c r="M29" t="str">
        <f>IF(Fields[[#This Row],[Reference Entity]]&lt;&gt;"","t" &amp;Fields[[#This Row],[Reference Entity]],"")</f>
        <v/>
      </c>
      <c r="N29" t="str">
        <f>IF(Fields[[#This Row],[Reference Entity]]&lt;&gt;"",RIGHT(Fields[[#This Row],[Column Name]],LEN(Fields[[#This Row],[Column Name]])-2),"")</f>
        <v/>
      </c>
      <c r="P29" s="1"/>
      <c r="Q29" s="1"/>
      <c r="T29" s="1"/>
      <c r="U29" s="1"/>
    </row>
    <row r="30" spans="1:22" x14ac:dyDescent="0.25">
      <c r="A30">
        <v>12</v>
      </c>
      <c r="B30" t="s">
        <v>169</v>
      </c>
      <c r="C30" t="s">
        <v>331</v>
      </c>
      <c r="D30" s="1" t="s">
        <v>241</v>
      </c>
      <c r="E30" t="s">
        <v>17</v>
      </c>
      <c r="F30" t="s">
        <v>449</v>
      </c>
      <c r="G30" s="2"/>
      <c r="J30" s="1"/>
      <c r="L30" s="1" t="s">
        <v>440</v>
      </c>
      <c r="M30" t="str">
        <f>IF(Fields[[#This Row],[Reference Entity]]&lt;&gt;"","t" &amp;Fields[[#This Row],[Reference Entity]],"")</f>
        <v/>
      </c>
      <c r="N30" t="str">
        <f>IF(Fields[[#This Row],[Reference Entity]]&lt;&gt;"",RIGHT(Fields[[#This Row],[Column Name]],LEN(Fields[[#This Row],[Column Name]])-2),"")</f>
        <v/>
      </c>
      <c r="P30" s="1"/>
      <c r="Q30" s="1"/>
      <c r="T30" s="1"/>
      <c r="U30" s="1"/>
    </row>
    <row r="31" spans="1:22" x14ac:dyDescent="0.25">
      <c r="A31">
        <v>13</v>
      </c>
      <c r="B31" t="s">
        <v>169</v>
      </c>
      <c r="C31" t="s">
        <v>227</v>
      </c>
      <c r="D31" s="1" t="s">
        <v>242</v>
      </c>
      <c r="E31" t="s">
        <v>30</v>
      </c>
      <c r="F31" t="s">
        <v>4</v>
      </c>
      <c r="G31" s="2"/>
      <c r="J31" s="1"/>
      <c r="L31" s="1" t="s">
        <v>440</v>
      </c>
      <c r="M31" t="str">
        <f>IF(Fields[[#This Row],[Reference Entity]]&lt;&gt;"","t" &amp;Fields[[#This Row],[Reference Entity]],"")</f>
        <v/>
      </c>
      <c r="N31" t="str">
        <f>IF(Fields[[#This Row],[Reference Entity]]&lt;&gt;"",RIGHT(Fields[[#This Row],[Column Name]],LEN(Fields[[#This Row],[Column Name]])-2),"")</f>
        <v/>
      </c>
      <c r="P31" s="1"/>
      <c r="Q31" s="1"/>
      <c r="T31" s="1"/>
      <c r="U31" s="1"/>
    </row>
    <row r="32" spans="1:22" x14ac:dyDescent="0.25">
      <c r="A32">
        <v>14</v>
      </c>
      <c r="B32" t="s">
        <v>169</v>
      </c>
      <c r="C32" t="s">
        <v>228</v>
      </c>
      <c r="D32" s="1" t="s">
        <v>243</v>
      </c>
      <c r="E32" t="s">
        <v>30</v>
      </c>
      <c r="F32" t="s">
        <v>4</v>
      </c>
      <c r="G32" s="2"/>
      <c r="J32" s="1"/>
      <c r="L32" s="1" t="s">
        <v>440</v>
      </c>
      <c r="M32" t="str">
        <f>IF(Fields[[#This Row],[Reference Entity]]&lt;&gt;"","t" &amp;Fields[[#This Row],[Reference Entity]],"")</f>
        <v/>
      </c>
      <c r="N32" t="str">
        <f>IF(Fields[[#This Row],[Reference Entity]]&lt;&gt;"",RIGHT(Fields[[#This Row],[Column Name]],LEN(Fields[[#This Row],[Column Name]])-2),"")</f>
        <v/>
      </c>
      <c r="P32" s="1"/>
      <c r="Q32" s="1"/>
      <c r="T32" s="1"/>
      <c r="U32" s="1"/>
    </row>
    <row r="33" spans="1:21" x14ac:dyDescent="0.25">
      <c r="A33">
        <v>15</v>
      </c>
      <c r="B33" t="s">
        <v>169</v>
      </c>
      <c r="C33" t="s">
        <v>229</v>
      </c>
      <c r="D33" s="1" t="s">
        <v>244</v>
      </c>
      <c r="E33" t="s">
        <v>134</v>
      </c>
      <c r="F33" t="s">
        <v>271</v>
      </c>
      <c r="G33" s="2"/>
      <c r="J33" s="1"/>
      <c r="L33" s="1" t="s">
        <v>440</v>
      </c>
      <c r="M33" t="str">
        <f>IF(Fields[[#This Row],[Reference Entity]]&lt;&gt;"","t" &amp;Fields[[#This Row],[Reference Entity]],"")</f>
        <v/>
      </c>
      <c r="N33" t="str">
        <f>IF(Fields[[#This Row],[Reference Entity]]&lt;&gt;"",RIGHT(Fields[[#This Row],[Column Name]],LEN(Fields[[#This Row],[Column Name]])-2),"")</f>
        <v/>
      </c>
      <c r="P33" s="1"/>
      <c r="Q33" s="1"/>
      <c r="T33" s="1"/>
      <c r="U33" s="1"/>
    </row>
    <row r="34" spans="1:21" x14ac:dyDescent="0.25">
      <c r="A34">
        <v>16</v>
      </c>
      <c r="B34" t="s">
        <v>169</v>
      </c>
      <c r="C34" t="s">
        <v>230</v>
      </c>
      <c r="D34" s="1" t="s">
        <v>245</v>
      </c>
      <c r="E34" t="s">
        <v>134</v>
      </c>
      <c r="F34" t="s">
        <v>271</v>
      </c>
      <c r="G34" s="2"/>
      <c r="J34" s="1"/>
      <c r="L34" s="1" t="s">
        <v>440</v>
      </c>
      <c r="M34" t="str">
        <f>IF(Fields[[#This Row],[Reference Entity]]&lt;&gt;"","t" &amp;Fields[[#This Row],[Reference Entity]],"")</f>
        <v/>
      </c>
      <c r="N34" t="str">
        <f>IF(Fields[[#This Row],[Reference Entity]]&lt;&gt;"",RIGHT(Fields[[#This Row],[Column Name]],LEN(Fields[[#This Row],[Column Name]])-2),"")</f>
        <v/>
      </c>
      <c r="P34" s="1"/>
      <c r="Q34" s="1"/>
      <c r="T34" s="1"/>
      <c r="U34" s="1"/>
    </row>
    <row r="35" spans="1:21" x14ac:dyDescent="0.25">
      <c r="A35">
        <v>17</v>
      </c>
      <c r="B35" t="s">
        <v>169</v>
      </c>
      <c r="C35" t="s">
        <v>224</v>
      </c>
      <c r="D35" s="1" t="s">
        <v>246</v>
      </c>
      <c r="E35" t="s">
        <v>60</v>
      </c>
      <c r="F35" t="s">
        <v>272</v>
      </c>
      <c r="G35" s="2"/>
      <c r="J35" s="1"/>
      <c r="L35" s="1" t="s">
        <v>440</v>
      </c>
      <c r="M35" t="str">
        <f>IF(Fields[[#This Row],[Reference Entity]]&lt;&gt;"","t" &amp;Fields[[#This Row],[Reference Entity]],"")</f>
        <v/>
      </c>
      <c r="N35" t="str">
        <f>IF(Fields[[#This Row],[Reference Entity]]&lt;&gt;"",RIGHT(Fields[[#This Row],[Column Name]],LEN(Fields[[#This Row],[Column Name]])-2),"")</f>
        <v/>
      </c>
      <c r="P35" s="1"/>
      <c r="Q35" s="1"/>
      <c r="T35" s="1"/>
      <c r="U35" s="1"/>
    </row>
    <row r="36" spans="1:21" x14ac:dyDescent="0.25">
      <c r="A36">
        <v>18</v>
      </c>
      <c r="B36" t="s">
        <v>169</v>
      </c>
      <c r="C36" t="s">
        <v>333</v>
      </c>
      <c r="D36" s="1" t="s">
        <v>247</v>
      </c>
      <c r="E36" t="s">
        <v>19</v>
      </c>
      <c r="F36" t="s">
        <v>277</v>
      </c>
      <c r="G36" s="2">
        <v>50</v>
      </c>
      <c r="H36" t="s">
        <v>20</v>
      </c>
      <c r="J36" s="1"/>
      <c r="L36" s="1" t="s">
        <v>440</v>
      </c>
      <c r="M36" t="str">
        <f>IF(Fields[[#This Row],[Reference Entity]]&lt;&gt;"","t" &amp;Fields[[#This Row],[Reference Entity]],"")</f>
        <v/>
      </c>
      <c r="N36" t="str">
        <f>IF(Fields[[#This Row],[Reference Entity]]&lt;&gt;"",RIGHT(Fields[[#This Row],[Column Name]],LEN(Fields[[#This Row],[Column Name]])-2),"")</f>
        <v/>
      </c>
      <c r="P36" s="1"/>
      <c r="Q36" s="1"/>
      <c r="T36" s="1"/>
      <c r="U36" s="1"/>
    </row>
    <row r="37" spans="1:21" x14ac:dyDescent="0.25">
      <c r="A37">
        <v>19</v>
      </c>
      <c r="B37" t="s">
        <v>169</v>
      </c>
      <c r="C37" t="s">
        <v>334</v>
      </c>
      <c r="D37" s="1" t="s">
        <v>247</v>
      </c>
      <c r="E37" t="s">
        <v>19</v>
      </c>
      <c r="F37" t="s">
        <v>277</v>
      </c>
      <c r="G37" s="2">
        <v>50</v>
      </c>
      <c r="H37" t="s">
        <v>20</v>
      </c>
      <c r="J37" s="1"/>
      <c r="L37" s="1" t="s">
        <v>440</v>
      </c>
      <c r="M37" t="str">
        <f>IF(Fields[[#This Row],[Reference Entity]]&lt;&gt;"","t" &amp;Fields[[#This Row],[Reference Entity]],"")</f>
        <v/>
      </c>
      <c r="N37" t="str">
        <f>IF(Fields[[#This Row],[Reference Entity]]&lt;&gt;"",RIGHT(Fields[[#This Row],[Column Name]],LEN(Fields[[#This Row],[Column Name]])-2),"")</f>
        <v/>
      </c>
      <c r="P37" s="1"/>
      <c r="Q37" s="1"/>
      <c r="T37" s="1"/>
      <c r="U37" s="1"/>
    </row>
    <row r="38" spans="1:21" ht="60" x14ac:dyDescent="0.25">
      <c r="A38">
        <v>20</v>
      </c>
      <c r="B38" t="s">
        <v>169</v>
      </c>
      <c r="C38" t="s">
        <v>345</v>
      </c>
      <c r="D38" s="1" t="s">
        <v>37</v>
      </c>
      <c r="E38" t="s">
        <v>19</v>
      </c>
      <c r="F38" t="s">
        <v>277</v>
      </c>
      <c r="G38" s="2">
        <v>15</v>
      </c>
      <c r="H38" t="s">
        <v>20</v>
      </c>
      <c r="L38" s="1" t="s">
        <v>440</v>
      </c>
      <c r="M38" t="str">
        <f>IF(Fields[[#This Row],[Reference Entity]]&lt;&gt;"","t" &amp;Fields[[#This Row],[Reference Entity]],"")</f>
        <v/>
      </c>
      <c r="N38" t="str">
        <f>IF(Fields[[#This Row],[Reference Entity]]&lt;&gt;"",RIGHT(Fields[[#This Row],[Column Name]],LEN(Fields[[#This Row],[Column Name]])-2),"")</f>
        <v/>
      </c>
      <c r="P38" s="1"/>
      <c r="Q38" t="str">
        <f>Fields[[#This Row],[Column Name]]</f>
        <v>ReferenceIDBookRecord</v>
      </c>
      <c r="R38"/>
      <c r="S38"/>
    </row>
    <row r="39" spans="1:21" x14ac:dyDescent="0.25">
      <c r="A39">
        <v>21</v>
      </c>
      <c r="B39" t="s">
        <v>169</v>
      </c>
      <c r="C39" t="s">
        <v>329</v>
      </c>
      <c r="D39" s="1" t="s">
        <v>248</v>
      </c>
      <c r="E39" t="s">
        <v>45</v>
      </c>
      <c r="F39" t="s">
        <v>277</v>
      </c>
      <c r="G39" s="2" t="s">
        <v>276</v>
      </c>
      <c r="H39" t="s">
        <v>20</v>
      </c>
      <c r="J39" s="1"/>
      <c r="L39" s="1" t="s">
        <v>440</v>
      </c>
      <c r="M39" t="str">
        <f>IF(Fields[[#This Row],[Reference Entity]]&lt;&gt;"","t" &amp;Fields[[#This Row],[Reference Entity]],"")</f>
        <v/>
      </c>
      <c r="N39" t="str">
        <f>IF(Fields[[#This Row],[Reference Entity]]&lt;&gt;"",RIGHT(Fields[[#This Row],[Column Name]],LEN(Fields[[#This Row],[Column Name]])-2),"")</f>
        <v/>
      </c>
      <c r="P39" s="1"/>
      <c r="Q39" s="1"/>
      <c r="T39" s="1"/>
      <c r="U39" s="1"/>
    </row>
    <row r="40" spans="1:21" x14ac:dyDescent="0.25">
      <c r="A40">
        <v>1</v>
      </c>
      <c r="B40" t="s">
        <v>170</v>
      </c>
      <c r="C40" t="s">
        <v>250</v>
      </c>
      <c r="D40" s="1" t="s">
        <v>253</v>
      </c>
      <c r="E40" t="s">
        <v>16</v>
      </c>
      <c r="F40" t="s">
        <v>4</v>
      </c>
      <c r="G40" s="2"/>
      <c r="L40" s="1" t="s">
        <v>401</v>
      </c>
      <c r="M40" t="str">
        <f>IF(Fields[[#This Row],[Reference Entity]]&lt;&gt;"","t" &amp;Fields[[#This Row],[Reference Entity]],"")</f>
        <v>tBookRecord</v>
      </c>
      <c r="N40" t="str">
        <f>IF(Fields[[#This Row],[Reference Entity]]&lt;&gt;"",RIGHT(Fields[[#This Row],[Column Name]],LEN(Fields[[#This Row],[Column Name]])-2),"")</f>
        <v>BookingRecord</v>
      </c>
      <c r="O40" t="s">
        <v>154</v>
      </c>
      <c r="P40" s="1"/>
      <c r="Q40" t="str">
        <f>Fields[[#This Row],[Column Name]]</f>
        <v>idBookingRecord</v>
      </c>
      <c r="R40"/>
      <c r="S40"/>
    </row>
    <row r="41" spans="1:21" x14ac:dyDescent="0.25">
      <c r="A41">
        <v>2</v>
      </c>
      <c r="B41" t="s">
        <v>170</v>
      </c>
      <c r="C41" t="s">
        <v>338</v>
      </c>
      <c r="D41" s="1" t="s">
        <v>254</v>
      </c>
      <c r="E41" t="s">
        <v>16</v>
      </c>
      <c r="F41" t="s">
        <v>4</v>
      </c>
      <c r="G41" s="2"/>
      <c r="J41" s="1"/>
      <c r="L41" s="1" t="s">
        <v>386</v>
      </c>
      <c r="M41" t="str">
        <f>IF(Fields[[#This Row],[Reference Entity]]&lt;&gt;"","t" &amp;Fields[[#This Row],[Reference Entity]],"")</f>
        <v>tAccount</v>
      </c>
      <c r="N41" t="str">
        <f>IF(Fields[[#This Row],[Reference Entity]]&lt;&gt;"",RIGHT(Fields[[#This Row],[Column Name]],LEN(Fields[[#This Row],[Column Name]])-2),"")</f>
        <v>AccountTransaction</v>
      </c>
      <c r="P41" s="1"/>
      <c r="Q41" t="str">
        <f>Fields[[#This Row],[Column Name]]</f>
        <v>idAccountTransaction</v>
      </c>
      <c r="S41"/>
    </row>
    <row r="42" spans="1:21" x14ac:dyDescent="0.25">
      <c r="A42">
        <v>3</v>
      </c>
      <c r="B42" t="s">
        <v>170</v>
      </c>
      <c r="C42" t="s">
        <v>249</v>
      </c>
      <c r="D42" s="1" t="s">
        <v>255</v>
      </c>
      <c r="E42" t="s">
        <v>16</v>
      </c>
      <c r="F42" t="s">
        <v>4</v>
      </c>
      <c r="G42" s="2"/>
      <c r="J42" s="1"/>
      <c r="L42" s="1" t="s">
        <v>386</v>
      </c>
      <c r="M42" t="str">
        <f>IF(Fields[[#This Row],[Reference Entity]]&lt;&gt;"","t" &amp;Fields[[#This Row],[Reference Entity]],"")</f>
        <v>tAccount</v>
      </c>
      <c r="N42" t="str">
        <f>IF(Fields[[#This Row],[Reference Entity]]&lt;&gt;"",RIGHT(Fields[[#This Row],[Column Name]],LEN(Fields[[#This Row],[Column Name]])-2),"")</f>
        <v>AccountCounter</v>
      </c>
      <c r="P42" s="1"/>
      <c r="Q42" t="str">
        <f>Fields[[#This Row],[Column Name]]</f>
        <v>idAccountCounter</v>
      </c>
      <c r="S42"/>
      <c r="U42" t="s">
        <v>436</v>
      </c>
    </row>
    <row r="43" spans="1:21" x14ac:dyDescent="0.25">
      <c r="A43">
        <v>4</v>
      </c>
      <c r="B43" t="s">
        <v>170</v>
      </c>
      <c r="C43" t="s">
        <v>251</v>
      </c>
      <c r="D43" s="1" t="s">
        <v>256</v>
      </c>
      <c r="E43" t="s">
        <v>60</v>
      </c>
      <c r="F43" t="s">
        <v>272</v>
      </c>
      <c r="G43" s="2"/>
      <c r="J43" s="1"/>
      <c r="L43" s="1" t="s">
        <v>440</v>
      </c>
      <c r="M43" t="str">
        <f>IF(Fields[[#This Row],[Reference Entity]]&lt;&gt;"","t" &amp;Fields[[#This Row],[Reference Entity]],"")</f>
        <v/>
      </c>
      <c r="N43" t="str">
        <f>IF(Fields[[#This Row],[Reference Entity]]&lt;&gt;"",RIGHT(Fields[[#This Row],[Column Name]],LEN(Fields[[#This Row],[Column Name]])-2),"")</f>
        <v/>
      </c>
      <c r="P43" s="1"/>
      <c r="Q43" s="1"/>
      <c r="T43" s="1"/>
      <c r="U43" s="1"/>
    </row>
    <row r="44" spans="1:21" x14ac:dyDescent="0.25">
      <c r="A44">
        <v>5</v>
      </c>
      <c r="B44" t="s">
        <v>170</v>
      </c>
      <c r="C44" t="s">
        <v>252</v>
      </c>
      <c r="D44" s="1" t="s">
        <v>257</v>
      </c>
      <c r="E44" t="s">
        <v>60</v>
      </c>
      <c r="F44" t="s">
        <v>272</v>
      </c>
      <c r="G44" s="2"/>
      <c r="J44" s="1"/>
      <c r="L44" s="1" t="s">
        <v>440</v>
      </c>
      <c r="M44" t="str">
        <f>IF(Fields[[#This Row],[Reference Entity]]&lt;&gt;"","t" &amp;Fields[[#This Row],[Reference Entity]],"")</f>
        <v/>
      </c>
      <c r="N44" t="str">
        <f>IF(Fields[[#This Row],[Reference Entity]]&lt;&gt;"",RIGHT(Fields[[#This Row],[Column Name]],LEN(Fields[[#This Row],[Column Name]])-2),"")</f>
        <v/>
      </c>
      <c r="P44" s="1"/>
      <c r="Q44" s="1"/>
      <c r="T44" s="1"/>
      <c r="U44" s="1"/>
    </row>
    <row r="45" spans="1:21" x14ac:dyDescent="0.25">
      <c r="A45">
        <v>6</v>
      </c>
      <c r="B45" t="s">
        <v>170</v>
      </c>
      <c r="C45" t="s">
        <v>258</v>
      </c>
      <c r="D45" s="1" t="s">
        <v>259</v>
      </c>
      <c r="E45" t="s">
        <v>60</v>
      </c>
      <c r="F45" t="s">
        <v>272</v>
      </c>
      <c r="G45" s="2"/>
      <c r="J45" s="1"/>
      <c r="L45" s="1" t="s">
        <v>440</v>
      </c>
      <c r="M45" t="str">
        <f>IF(Fields[[#This Row],[Reference Entity]]&lt;&gt;"","t" &amp;Fields[[#This Row],[Reference Entity]],"")</f>
        <v/>
      </c>
      <c r="N45" t="str">
        <f>IF(Fields[[#This Row],[Reference Entity]]&lt;&gt;"",RIGHT(Fields[[#This Row],[Column Name]],LEN(Fields[[#This Row],[Column Name]])-2),"")</f>
        <v/>
      </c>
      <c r="P45" s="1"/>
      <c r="Q45" s="1"/>
      <c r="T45" s="1"/>
      <c r="U45" s="1"/>
    </row>
    <row r="46" spans="1:21" x14ac:dyDescent="0.25">
      <c r="A46">
        <v>1</v>
      </c>
      <c r="B46" t="s">
        <v>8</v>
      </c>
      <c r="C46" t="s">
        <v>349</v>
      </c>
      <c r="D46" s="1" t="s">
        <v>21</v>
      </c>
      <c r="E46" t="s">
        <v>19</v>
      </c>
      <c r="F46" t="s">
        <v>277</v>
      </c>
      <c r="G46" s="2">
        <v>30</v>
      </c>
      <c r="L46" s="1" t="s">
        <v>440</v>
      </c>
      <c r="M46" t="str">
        <f>IF(Fields[[#This Row],[Reference Entity]]&lt;&gt;"","t" &amp;Fields[[#This Row],[Reference Entity]],"")</f>
        <v/>
      </c>
      <c r="N46" t="str">
        <f>IF(Fields[[#This Row],[Reference Entity]]&lt;&gt;"",RIGHT(Fields[[#This Row],[Column Name]],LEN(Fields[[#This Row],[Column Name]])-2),"")</f>
        <v/>
      </c>
      <c r="P46" s="1"/>
      <c r="R46"/>
      <c r="S46"/>
    </row>
    <row r="47" spans="1:21" ht="30" x14ac:dyDescent="0.25">
      <c r="A47">
        <v>2</v>
      </c>
      <c r="B47" t="s">
        <v>8</v>
      </c>
      <c r="C47" t="s">
        <v>342</v>
      </c>
      <c r="D47" s="1" t="s">
        <v>118</v>
      </c>
      <c r="E47" t="s">
        <v>16</v>
      </c>
      <c r="F47" t="s">
        <v>4</v>
      </c>
      <c r="G47" s="2"/>
      <c r="L47" s="1" t="s">
        <v>384</v>
      </c>
      <c r="M47" t="str">
        <f>IF(Fields[[#This Row],[Reference Entity]]&lt;&gt;"","t" &amp;Fields[[#This Row],[Reference Entity]],"")</f>
        <v>tCurrency</v>
      </c>
      <c r="N47" t="str">
        <f>IF(Fields[[#This Row],[Reference Entity]]&lt;&gt;"",RIGHT(Fields[[#This Row],[Column Name]],LEN(Fields[[#This Row],[Column Name]])-2),"")</f>
        <v>CurrencyClient</v>
      </c>
      <c r="P47" s="1"/>
      <c r="Q47" t="str">
        <f>Fields[[#This Row],[Column Name]]</f>
        <v>idCurrencyClient</v>
      </c>
      <c r="R47"/>
      <c r="S47"/>
    </row>
    <row r="48" spans="1:21" x14ac:dyDescent="0.25">
      <c r="A48">
        <v>3</v>
      </c>
      <c r="B48" t="s">
        <v>8</v>
      </c>
      <c r="C48" t="s">
        <v>164</v>
      </c>
      <c r="D48" s="1" t="s">
        <v>165</v>
      </c>
      <c r="E48" t="s">
        <v>18</v>
      </c>
      <c r="F48" t="s">
        <v>6</v>
      </c>
      <c r="G48" s="2"/>
      <c r="I48">
        <v>0</v>
      </c>
      <c r="L48" s="1" t="s">
        <v>440</v>
      </c>
      <c r="M48" t="str">
        <f>IF(Fields[[#This Row],[Reference Entity]]&lt;&gt;"","t" &amp;Fields[[#This Row],[Reference Entity]],"")</f>
        <v/>
      </c>
      <c r="N48" t="str">
        <f>IF(Fields[[#This Row],[Reference Entity]]&lt;&gt;"",RIGHT(Fields[[#This Row],[Column Name]],LEN(Fields[[#This Row],[Column Name]])-2),"")</f>
        <v/>
      </c>
      <c r="P48" s="1"/>
      <c r="R48"/>
      <c r="S48"/>
    </row>
    <row r="49" spans="1:22" x14ac:dyDescent="0.25">
      <c r="A49">
        <v>4</v>
      </c>
      <c r="B49" t="s">
        <v>8</v>
      </c>
      <c r="C49" t="s">
        <v>225</v>
      </c>
      <c r="D49" s="1" t="s">
        <v>226</v>
      </c>
      <c r="E49" t="s">
        <v>30</v>
      </c>
      <c r="F49" t="s">
        <v>4</v>
      </c>
      <c r="G49" s="2"/>
      <c r="I49">
        <v>1</v>
      </c>
      <c r="L49" s="1" t="s">
        <v>440</v>
      </c>
      <c r="M49" t="str">
        <f>IF(Fields[[#This Row],[Reference Entity]]&lt;&gt;"","t" &amp;Fields[[#This Row],[Reference Entity]],"")</f>
        <v/>
      </c>
      <c r="N49" t="str">
        <f>IF(Fields[[#This Row],[Reference Entity]]&lt;&gt;"",RIGHT(Fields[[#This Row],[Column Name]],LEN(Fields[[#This Row],[Column Name]])-2),"")</f>
        <v/>
      </c>
      <c r="P49" s="1"/>
      <c r="R49"/>
      <c r="S49"/>
    </row>
    <row r="50" spans="1:22" x14ac:dyDescent="0.25">
      <c r="A50">
        <v>1</v>
      </c>
      <c r="B50" t="s">
        <v>9</v>
      </c>
      <c r="C50" t="s">
        <v>5</v>
      </c>
      <c r="D50" s="1" t="s">
        <v>10</v>
      </c>
      <c r="E50" t="s">
        <v>16</v>
      </c>
      <c r="F50" t="s">
        <v>4</v>
      </c>
      <c r="G50" s="2"/>
      <c r="L50" s="1" t="s">
        <v>159</v>
      </c>
      <c r="M50" t="str">
        <f>IF(Fields[[#This Row],[Reference Entity]]&lt;&gt;"","t" &amp;Fields[[#This Row],[Reference Entity]],"")</f>
        <v>tClient</v>
      </c>
      <c r="N50" t="str">
        <f>IF(Fields[[#This Row],[Reference Entity]]&lt;&gt;"",RIGHT(Fields[[#This Row],[Column Name]],LEN(Fields[[#This Row],[Column Name]])-2),"")</f>
        <v>Client</v>
      </c>
      <c r="O50" t="s">
        <v>154</v>
      </c>
      <c r="P50" s="1"/>
      <c r="Q50" t="s">
        <v>25</v>
      </c>
      <c r="R50" t="s">
        <v>20</v>
      </c>
      <c r="S50"/>
    </row>
    <row r="51" spans="1:22" x14ac:dyDescent="0.25">
      <c r="A51">
        <v>2</v>
      </c>
      <c r="B51" t="s">
        <v>9</v>
      </c>
      <c r="C51" t="s">
        <v>325</v>
      </c>
      <c r="D51" s="1" t="s">
        <v>26</v>
      </c>
      <c r="E51" t="s">
        <v>19</v>
      </c>
      <c r="F51" t="s">
        <v>277</v>
      </c>
      <c r="G51" s="2">
        <v>12</v>
      </c>
      <c r="L51" s="1" t="s">
        <v>440</v>
      </c>
      <c r="M51" t="str">
        <f>IF(Fields[[#This Row],[Reference Entity]]&lt;&gt;"","t" &amp;Fields[[#This Row],[Reference Entity]],"")</f>
        <v/>
      </c>
      <c r="N51" t="str">
        <f>IF(Fields[[#This Row],[Reference Entity]]&lt;&gt;"",RIGHT(Fields[[#This Row],[Column Name]],LEN(Fields[[#This Row],[Column Name]])-2),"")</f>
        <v/>
      </c>
      <c r="P51" s="1"/>
      <c r="Q51" t="s">
        <v>25</v>
      </c>
      <c r="R51" t="s">
        <v>20</v>
      </c>
      <c r="S51"/>
    </row>
    <row r="52" spans="1:22" x14ac:dyDescent="0.25">
      <c r="A52">
        <v>3</v>
      </c>
      <c r="B52" t="s">
        <v>9</v>
      </c>
      <c r="C52" t="s">
        <v>350</v>
      </c>
      <c r="D52" s="1" t="s">
        <v>27</v>
      </c>
      <c r="E52" t="s">
        <v>19</v>
      </c>
      <c r="F52" t="s">
        <v>277</v>
      </c>
      <c r="G52" s="2">
        <v>255</v>
      </c>
      <c r="L52" s="1" t="s">
        <v>440</v>
      </c>
      <c r="M52" t="str">
        <f>IF(Fields[[#This Row],[Reference Entity]]&lt;&gt;"","t" &amp;Fields[[#This Row],[Reference Entity]],"")</f>
        <v/>
      </c>
      <c r="N52" t="str">
        <f>IF(Fields[[#This Row],[Reference Entity]]&lt;&gt;"",RIGHT(Fields[[#This Row],[Column Name]],LEN(Fields[[#This Row],[Column Name]])-2),"")</f>
        <v/>
      </c>
      <c r="P52" s="1"/>
      <c r="R52"/>
      <c r="S52"/>
    </row>
    <row r="53" spans="1:22" x14ac:dyDescent="0.25">
      <c r="A53">
        <v>4</v>
      </c>
      <c r="B53" t="s">
        <v>9</v>
      </c>
      <c r="C53" t="s">
        <v>67</v>
      </c>
      <c r="D53" s="1" t="s">
        <v>28</v>
      </c>
      <c r="E53" t="s">
        <v>18</v>
      </c>
      <c r="F53" t="s">
        <v>6</v>
      </c>
      <c r="G53" s="2"/>
      <c r="I53">
        <v>0</v>
      </c>
      <c r="L53" s="1" t="s">
        <v>440</v>
      </c>
      <c r="M53" t="str">
        <f>IF(Fields[[#This Row],[Reference Entity]]&lt;&gt;"","t" &amp;Fields[[#This Row],[Reference Entity]],"")</f>
        <v/>
      </c>
      <c r="N53" t="str">
        <f>IF(Fields[[#This Row],[Reference Entity]]&lt;&gt;"",RIGHT(Fields[[#This Row],[Column Name]],LEN(Fields[[#This Row],[Column Name]])-2),"")</f>
        <v/>
      </c>
      <c r="P53" s="1"/>
      <c r="R53"/>
      <c r="S53"/>
    </row>
    <row r="54" spans="1:22" x14ac:dyDescent="0.25">
      <c r="A54">
        <v>1</v>
      </c>
      <c r="B54" t="s">
        <v>65</v>
      </c>
      <c r="C54" t="s">
        <v>326</v>
      </c>
      <c r="D54" s="1" t="s">
        <v>121</v>
      </c>
      <c r="E54" t="s">
        <v>19</v>
      </c>
      <c r="F54" t="s">
        <v>277</v>
      </c>
      <c r="G54" s="2">
        <v>3</v>
      </c>
      <c r="L54" s="1" t="s">
        <v>440</v>
      </c>
      <c r="M54" t="str">
        <f>IF(Fields[[#This Row],[Reference Entity]]&lt;&gt;"","t" &amp;Fields[[#This Row],[Reference Entity]],"")</f>
        <v/>
      </c>
      <c r="N54" t="str">
        <f>IF(Fields[[#This Row],[Reference Entity]]&lt;&gt;"",RIGHT(Fields[[#This Row],[Column Name]],LEN(Fields[[#This Row],[Column Name]])-2),"")</f>
        <v/>
      </c>
      <c r="P54" s="1"/>
      <c r="R54"/>
      <c r="S54"/>
    </row>
    <row r="55" spans="1:22" x14ac:dyDescent="0.25">
      <c r="A55">
        <v>2</v>
      </c>
      <c r="B55" t="s">
        <v>65</v>
      </c>
      <c r="C55" t="s">
        <v>351</v>
      </c>
      <c r="D55" s="1" t="s">
        <v>122</v>
      </c>
      <c r="E55" t="s">
        <v>19</v>
      </c>
      <c r="F55" t="s">
        <v>277</v>
      </c>
      <c r="G55" s="2">
        <v>30</v>
      </c>
      <c r="L55" s="1" t="s">
        <v>440</v>
      </c>
      <c r="M55" t="str">
        <f>IF(Fields[[#This Row],[Reference Entity]]&lt;&gt;"","t" &amp;Fields[[#This Row],[Reference Entity]],"")</f>
        <v/>
      </c>
      <c r="N55" t="str">
        <f>IF(Fields[[#This Row],[Reference Entity]]&lt;&gt;"",RIGHT(Fields[[#This Row],[Column Name]],LEN(Fields[[#This Row],[Column Name]])-2),"")</f>
        <v/>
      </c>
      <c r="P55" s="1"/>
      <c r="R55"/>
      <c r="S55"/>
    </row>
    <row r="56" spans="1:22" x14ac:dyDescent="0.25">
      <c r="A56">
        <v>1</v>
      </c>
      <c r="B56" t="s">
        <v>171</v>
      </c>
      <c r="C56" t="s">
        <v>5</v>
      </c>
      <c r="D56" s="1" t="s">
        <v>188</v>
      </c>
      <c r="E56" t="s">
        <v>16</v>
      </c>
      <c r="F56" t="s">
        <v>4</v>
      </c>
      <c r="G56" s="2"/>
      <c r="L56" s="1" t="s">
        <v>159</v>
      </c>
      <c r="M56" t="str">
        <f>IF(Fields[[#This Row],[Reference Entity]]&lt;&gt;"","t" &amp;Fields[[#This Row],[Reference Entity]],"")</f>
        <v>tClient</v>
      </c>
      <c r="N56" t="str">
        <f>IF(Fields[[#This Row],[Reference Entity]]&lt;&gt;"",RIGHT(Fields[[#This Row],[Column Name]],LEN(Fields[[#This Row],[Column Name]])-2),"")</f>
        <v>Client</v>
      </c>
      <c r="O56" t="s">
        <v>154</v>
      </c>
      <c r="P56" s="1"/>
      <c r="Q56" t="str">
        <f>Fields[[#This Row],[Column Name]]</f>
        <v>idClient</v>
      </c>
      <c r="R56"/>
      <c r="S56"/>
      <c r="V56" s="1"/>
    </row>
    <row r="57" spans="1:22" x14ac:dyDescent="0.25">
      <c r="A57">
        <v>2</v>
      </c>
      <c r="B57" t="s">
        <v>171</v>
      </c>
      <c r="C57" t="s">
        <v>200</v>
      </c>
      <c r="D57" s="1" t="s">
        <v>201</v>
      </c>
      <c r="E57" t="s">
        <v>16</v>
      </c>
      <c r="F57" t="s">
        <v>4</v>
      </c>
      <c r="G57" s="2"/>
      <c r="L57" s="1" t="s">
        <v>386</v>
      </c>
      <c r="M57" t="str">
        <f>IF(Fields[[#This Row],[Reference Entity]]&lt;&gt;"","t" &amp;Fields[[#This Row],[Reference Entity]],"")</f>
        <v>tAccount</v>
      </c>
      <c r="N57" t="str">
        <f>IF(Fields[[#This Row],[Reference Entity]]&lt;&gt;"",RIGHT(Fields[[#This Row],[Column Name]],LEN(Fields[[#This Row],[Column Name]])-2),"")</f>
        <v>AccountDepreciation</v>
      </c>
      <c r="P57" s="1"/>
      <c r="Q57" t="str">
        <f>Fields[[#This Row],[Column Name]]</f>
        <v>idAccountDepreciation</v>
      </c>
      <c r="R57"/>
      <c r="S57"/>
      <c r="V57" s="1"/>
    </row>
    <row r="58" spans="1:22" x14ac:dyDescent="0.25">
      <c r="A58">
        <v>3</v>
      </c>
      <c r="B58" t="s">
        <v>171</v>
      </c>
      <c r="C58" t="s">
        <v>352</v>
      </c>
      <c r="D58" s="1"/>
      <c r="E58" t="s">
        <v>19</v>
      </c>
      <c r="F58" t="s">
        <v>277</v>
      </c>
      <c r="G58" s="2">
        <v>50</v>
      </c>
      <c r="J58" s="1"/>
      <c r="L58" s="1" t="s">
        <v>440</v>
      </c>
      <c r="M58" t="str">
        <f>IF(Fields[[#This Row],[Reference Entity]]&lt;&gt;"","t" &amp;Fields[[#This Row],[Reference Entity]],"")</f>
        <v/>
      </c>
      <c r="N58" t="str">
        <f>IF(Fields[[#This Row],[Reference Entity]]&lt;&gt;"",RIGHT(Fields[[#This Row],[Column Name]],LEN(Fields[[#This Row],[Column Name]])-2),"")</f>
        <v/>
      </c>
      <c r="P58" s="1"/>
      <c r="Q58" s="1"/>
      <c r="T58" s="1"/>
      <c r="U58" s="1"/>
    </row>
    <row r="59" spans="1:22" x14ac:dyDescent="0.25">
      <c r="A59">
        <v>4</v>
      </c>
      <c r="B59" t="s">
        <v>171</v>
      </c>
      <c r="C59" t="s">
        <v>198</v>
      </c>
      <c r="D59" s="1"/>
      <c r="E59" t="s">
        <v>30</v>
      </c>
      <c r="F59" t="s">
        <v>4</v>
      </c>
      <c r="G59" s="2"/>
      <c r="J59" s="1"/>
      <c r="L59" s="1" t="s">
        <v>440</v>
      </c>
      <c r="M59" t="str">
        <f>IF(Fields[[#This Row],[Reference Entity]]&lt;&gt;"","t" &amp;Fields[[#This Row],[Reference Entity]],"")</f>
        <v/>
      </c>
      <c r="N59" t="str">
        <f>IF(Fields[[#This Row],[Reference Entity]]&lt;&gt;"",RIGHT(Fields[[#This Row],[Column Name]],LEN(Fields[[#This Row],[Column Name]])-2),"")</f>
        <v/>
      </c>
      <c r="P59" s="1"/>
      <c r="Q59" s="1"/>
      <c r="T59" s="1"/>
      <c r="U59" s="1"/>
    </row>
    <row r="60" spans="1:22" x14ac:dyDescent="0.25">
      <c r="A60">
        <v>5</v>
      </c>
      <c r="B60" t="s">
        <v>171</v>
      </c>
      <c r="C60" t="s">
        <v>199</v>
      </c>
      <c r="D60" s="1"/>
      <c r="E60" t="s">
        <v>30</v>
      </c>
      <c r="F60" t="s">
        <v>4</v>
      </c>
      <c r="G60" s="2"/>
      <c r="I60">
        <v>1</v>
      </c>
      <c r="J60" s="1"/>
      <c r="L60" s="1" t="s">
        <v>440</v>
      </c>
      <c r="M60" t="str">
        <f>IF(Fields[[#This Row],[Reference Entity]]&lt;&gt;"","t" &amp;Fields[[#This Row],[Reference Entity]],"")</f>
        <v/>
      </c>
      <c r="N60" t="str">
        <f>IF(Fields[[#This Row],[Reference Entity]]&lt;&gt;"",RIGHT(Fields[[#This Row],[Column Name]],LEN(Fields[[#This Row],[Column Name]])-2),"")</f>
        <v/>
      </c>
      <c r="P60" s="1"/>
      <c r="Q60" s="1"/>
      <c r="T60" s="1"/>
      <c r="U60" s="1"/>
    </row>
    <row r="61" spans="1:22" ht="30" x14ac:dyDescent="0.25">
      <c r="A61">
        <v>6</v>
      </c>
      <c r="B61" t="s">
        <v>171</v>
      </c>
      <c r="C61" t="s">
        <v>366</v>
      </c>
      <c r="D61" s="1" t="s">
        <v>203</v>
      </c>
      <c r="E61" t="s">
        <v>134</v>
      </c>
      <c r="F61" t="s">
        <v>271</v>
      </c>
      <c r="G61" s="2"/>
      <c r="J61" s="1"/>
      <c r="K61" s="5" t="s">
        <v>202</v>
      </c>
      <c r="L61" s="1" t="s">
        <v>440</v>
      </c>
      <c r="M61" t="str">
        <f>IF(Fields[[#This Row],[Reference Entity]]&lt;&gt;"","t" &amp;Fields[[#This Row],[Reference Entity]],"")</f>
        <v/>
      </c>
      <c r="N61" t="str">
        <f>IF(Fields[[#This Row],[Reference Entity]]&lt;&gt;"",RIGHT(Fields[[#This Row],[Column Name]],LEN(Fields[[#This Row],[Column Name]])-2),"")</f>
        <v/>
      </c>
      <c r="P61" s="1"/>
      <c r="Q61" s="1"/>
      <c r="T61" s="1"/>
      <c r="U61" s="1"/>
    </row>
    <row r="62" spans="1:22" x14ac:dyDescent="0.25">
      <c r="A62">
        <v>1</v>
      </c>
      <c r="B62" t="s">
        <v>35</v>
      </c>
      <c r="C62" t="s">
        <v>5</v>
      </c>
      <c r="D62" s="1" t="s">
        <v>10</v>
      </c>
      <c r="E62" t="s">
        <v>16</v>
      </c>
      <c r="F62" t="s">
        <v>4</v>
      </c>
      <c r="G62" s="2"/>
      <c r="L62" s="1" t="s">
        <v>159</v>
      </c>
      <c r="M62" t="str">
        <f>IF(Fields[[#This Row],[Reference Entity]]&lt;&gt;"","t" &amp;Fields[[#This Row],[Reference Entity]],"")</f>
        <v>tClient</v>
      </c>
      <c r="N62" t="str">
        <f>IF(Fields[[#This Row],[Reference Entity]]&lt;&gt;"",RIGHT(Fields[[#This Row],[Column Name]],LEN(Fields[[#This Row],[Column Name]])-2),"")</f>
        <v>Client</v>
      </c>
      <c r="O62" t="s">
        <v>154</v>
      </c>
      <c r="P62" s="1"/>
      <c r="Q62" t="str">
        <f>Fields[[#This Row],[Column Name]]</f>
        <v>idClient</v>
      </c>
      <c r="R62"/>
      <c r="S62"/>
    </row>
    <row r="63" spans="1:22" ht="45" x14ac:dyDescent="0.25">
      <c r="A63">
        <v>2</v>
      </c>
      <c r="B63" t="s">
        <v>35</v>
      </c>
      <c r="C63" t="s">
        <v>114</v>
      </c>
      <c r="D63" s="1" t="s">
        <v>115</v>
      </c>
      <c r="E63" t="s">
        <v>16</v>
      </c>
      <c r="F63" t="s">
        <v>4</v>
      </c>
      <c r="G63" s="2"/>
      <c r="H63" t="s">
        <v>20</v>
      </c>
      <c r="L63" s="1" t="s">
        <v>393</v>
      </c>
      <c r="M63" t="str">
        <f>IF(Fields[[#This Row],[Reference Entity]]&lt;&gt;"","t" &amp;Fields[[#This Row],[Reference Entity]],"")</f>
        <v>tPlan</v>
      </c>
      <c r="N63" t="str">
        <f>IF(Fields[[#This Row],[Reference Entity]]&lt;&gt;"",RIGHT(Fields[[#This Row],[Column Name]],LEN(Fields[[#This Row],[Column Name]])-2),"")</f>
        <v>PlanBase</v>
      </c>
      <c r="P63" s="1"/>
      <c r="Q63" t="str">
        <f>Fields[[#This Row],[Column Name]]</f>
        <v>idPlanBase</v>
      </c>
      <c r="R63"/>
      <c r="S63"/>
      <c r="T63" t="s">
        <v>20</v>
      </c>
      <c r="U63" t="s">
        <v>412</v>
      </c>
    </row>
    <row r="64" spans="1:22" x14ac:dyDescent="0.25">
      <c r="A64">
        <v>3</v>
      </c>
      <c r="B64" t="s">
        <v>35</v>
      </c>
      <c r="C64" t="s">
        <v>353</v>
      </c>
      <c r="D64" s="1" t="s">
        <v>38</v>
      </c>
      <c r="E64" t="s">
        <v>19</v>
      </c>
      <c r="F64" t="s">
        <v>277</v>
      </c>
      <c r="G64" s="2">
        <v>30</v>
      </c>
      <c r="L64" s="1" t="s">
        <v>440</v>
      </c>
      <c r="M64" t="str">
        <f>IF(Fields[[#This Row],[Reference Entity]]&lt;&gt;"","t" &amp;Fields[[#This Row],[Reference Entity]],"")</f>
        <v/>
      </c>
      <c r="N64" t="str">
        <f>IF(Fields[[#This Row],[Reference Entity]]&lt;&gt;"",RIGHT(Fields[[#This Row],[Column Name]],LEN(Fields[[#This Row],[Column Name]])-2),"")</f>
        <v/>
      </c>
      <c r="P64" s="1"/>
      <c r="R64"/>
      <c r="S64"/>
    </row>
    <row r="65" spans="1:22" ht="30" x14ac:dyDescent="0.25">
      <c r="A65">
        <v>4</v>
      </c>
      <c r="B65" t="s">
        <v>35</v>
      </c>
      <c r="C65" t="s">
        <v>320</v>
      </c>
      <c r="D65" s="1" t="s">
        <v>39</v>
      </c>
      <c r="E65" t="s">
        <v>17</v>
      </c>
      <c r="F65" t="s">
        <v>449</v>
      </c>
      <c r="G65" s="2"/>
      <c r="L65" s="1" t="s">
        <v>440</v>
      </c>
      <c r="M65" t="str">
        <f>IF(Fields[[#This Row],[Reference Entity]]&lt;&gt;"","t" &amp;Fields[[#This Row],[Reference Entity]],"")</f>
        <v/>
      </c>
      <c r="N65" t="str">
        <f>IF(Fields[[#This Row],[Reference Entity]]&lt;&gt;"",RIGHT(Fields[[#This Row],[Column Name]],LEN(Fields[[#This Row],[Column Name]])-2),"")</f>
        <v/>
      </c>
      <c r="P65" s="1"/>
      <c r="R65"/>
      <c r="S65"/>
    </row>
    <row r="66" spans="1:22" x14ac:dyDescent="0.25">
      <c r="A66">
        <v>5</v>
      </c>
      <c r="B66" t="s">
        <v>35</v>
      </c>
      <c r="C66" t="s">
        <v>321</v>
      </c>
      <c r="D66" s="1" t="s">
        <v>322</v>
      </c>
      <c r="E66" t="s">
        <v>17</v>
      </c>
      <c r="F66" t="s">
        <v>449</v>
      </c>
      <c r="G66" s="2"/>
      <c r="L66" s="1" t="s">
        <v>440</v>
      </c>
      <c r="M66" t="str">
        <f>IF(Fields[[#This Row],[Reference Entity]]&lt;&gt;"","t" &amp;Fields[[#This Row],[Reference Entity]],"")</f>
        <v/>
      </c>
      <c r="N66" t="str">
        <f>IF(Fields[[#This Row],[Reference Entity]]&lt;&gt;"",RIGHT(Fields[[#This Row],[Column Name]],LEN(Fields[[#This Row],[Column Name]])-2),"")</f>
        <v/>
      </c>
      <c r="P66" s="1"/>
      <c r="R66"/>
      <c r="S66"/>
    </row>
    <row r="67" spans="1:22" ht="30" x14ac:dyDescent="0.25">
      <c r="A67">
        <v>6</v>
      </c>
      <c r="B67" t="s">
        <v>35</v>
      </c>
      <c r="C67" t="s">
        <v>335</v>
      </c>
      <c r="D67" s="1" t="s">
        <v>47</v>
      </c>
      <c r="E67" t="s">
        <v>18</v>
      </c>
      <c r="F67" t="s">
        <v>6</v>
      </c>
      <c r="G67" s="2"/>
      <c r="I67">
        <v>0</v>
      </c>
      <c r="L67" s="1" t="s">
        <v>440</v>
      </c>
      <c r="M67" t="str">
        <f>IF(Fields[[#This Row],[Reference Entity]]&lt;&gt;"","t" &amp;Fields[[#This Row],[Reference Entity]],"")</f>
        <v/>
      </c>
      <c r="N67" t="str">
        <f>IF(Fields[[#This Row],[Reference Entity]]&lt;&gt;"",RIGHT(Fields[[#This Row],[Column Name]],LEN(Fields[[#This Row],[Column Name]])-2),"")</f>
        <v/>
      </c>
      <c r="P67" s="1" t="s">
        <v>49</v>
      </c>
      <c r="R67"/>
      <c r="S67"/>
    </row>
    <row r="68" spans="1:22" ht="75" x14ac:dyDescent="0.25">
      <c r="A68">
        <v>7</v>
      </c>
      <c r="B68" t="s">
        <v>35</v>
      </c>
      <c r="C68" t="s">
        <v>143</v>
      </c>
      <c r="D68" s="1" t="s">
        <v>144</v>
      </c>
      <c r="E68" t="s">
        <v>134</v>
      </c>
      <c r="F68" t="s">
        <v>271</v>
      </c>
      <c r="G68" s="2"/>
      <c r="I68">
        <v>0</v>
      </c>
      <c r="K68" s="1" t="s">
        <v>145</v>
      </c>
      <c r="L68" s="1" t="s">
        <v>440</v>
      </c>
      <c r="M68" t="str">
        <f>IF(Fields[[#This Row],[Reference Entity]]&lt;&gt;"","t" &amp;Fields[[#This Row],[Reference Entity]],"")</f>
        <v/>
      </c>
      <c r="N68" t="str">
        <f>IF(Fields[[#This Row],[Reference Entity]]&lt;&gt;"",RIGHT(Fields[[#This Row],[Column Name]],LEN(Fields[[#This Row],[Column Name]])-2),"")</f>
        <v/>
      </c>
      <c r="P68" s="1"/>
      <c r="R68"/>
      <c r="S68"/>
    </row>
    <row r="69" spans="1:22" x14ac:dyDescent="0.25">
      <c r="A69">
        <v>1</v>
      </c>
      <c r="B69" t="s">
        <v>196</v>
      </c>
      <c r="C69" t="s">
        <v>5</v>
      </c>
      <c r="D69" s="1" t="s">
        <v>188</v>
      </c>
      <c r="E69" t="s">
        <v>16</v>
      </c>
      <c r="F69" t="s">
        <v>4</v>
      </c>
      <c r="G69" s="2"/>
      <c r="L69" s="1" t="s">
        <v>159</v>
      </c>
      <c r="M69" t="str">
        <f>IF(Fields[[#This Row],[Reference Entity]]&lt;&gt;"","t" &amp;Fields[[#This Row],[Reference Entity]],"")</f>
        <v>tClient</v>
      </c>
      <c r="N69" t="str">
        <f>IF(Fields[[#This Row],[Reference Entity]]&lt;&gt;"",RIGHT(Fields[[#This Row],[Column Name]],LEN(Fields[[#This Row],[Column Name]])-2),"")</f>
        <v>Client</v>
      </c>
      <c r="O69" t="s">
        <v>154</v>
      </c>
      <c r="P69" s="1"/>
      <c r="Q69" t="str">
        <f>Fields[[#This Row],[Column Name]]</f>
        <v>idClient</v>
      </c>
      <c r="R69"/>
      <c r="S69"/>
      <c r="V69" s="1"/>
    </row>
    <row r="70" spans="1:22" ht="30" x14ac:dyDescent="0.25">
      <c r="A70">
        <v>2</v>
      </c>
      <c r="B70" t="s">
        <v>196</v>
      </c>
      <c r="C70" t="s">
        <v>547</v>
      </c>
      <c r="D70" s="1" t="s">
        <v>546</v>
      </c>
      <c r="E70" t="s">
        <v>16</v>
      </c>
      <c r="F70" t="s">
        <v>4</v>
      </c>
      <c r="G70" s="2"/>
      <c r="J70" s="1"/>
      <c r="K70" s="1" t="s">
        <v>547</v>
      </c>
      <c r="L70" s="1"/>
      <c r="P70" s="1"/>
      <c r="Q70" t="str">
        <f>Fields[[#This Row],[Column Name]]</f>
        <v>TypeAccountFunction</v>
      </c>
      <c r="S70"/>
      <c r="V70" t="s">
        <v>515</v>
      </c>
    </row>
    <row r="71" spans="1:22" x14ac:dyDescent="0.25">
      <c r="A71">
        <v>3</v>
      </c>
      <c r="B71" t="s">
        <v>196</v>
      </c>
      <c r="C71" t="s">
        <v>339</v>
      </c>
      <c r="D71" s="1" t="s">
        <v>197</v>
      </c>
      <c r="E71" t="s">
        <v>16</v>
      </c>
      <c r="F71" t="s">
        <v>4</v>
      </c>
      <c r="G71" s="2"/>
      <c r="J71" s="1"/>
      <c r="L71" s="1" t="s">
        <v>386</v>
      </c>
      <c r="M71" t="str">
        <f>IF(Fields[[#This Row],[Reference Entity]]&lt;&gt;"","t" &amp;Fields[[#This Row],[Reference Entity]],"")</f>
        <v>tAccount</v>
      </c>
      <c r="N71" t="str">
        <f>IF(Fields[[#This Row],[Reference Entity]]&lt;&gt;"",RIGHT(Fields[[#This Row],[Column Name]],LEN(Fields[[#This Row],[Column Name]])-2),"")</f>
        <v>AccountPlanAccountFunction</v>
      </c>
      <c r="P71" s="1"/>
      <c r="Q71" t="str">
        <f>Fields[[#This Row],[Column Name]]</f>
        <v>idAccountPlanAccountFunction</v>
      </c>
      <c r="S71"/>
    </row>
    <row r="72" spans="1:22" ht="45" x14ac:dyDescent="0.25">
      <c r="A72">
        <v>1</v>
      </c>
      <c r="B72" t="s">
        <v>63</v>
      </c>
      <c r="C72" t="s">
        <v>53</v>
      </c>
      <c r="D72" s="1" t="s">
        <v>73</v>
      </c>
      <c r="E72" t="s">
        <v>16</v>
      </c>
      <c r="F72" t="s">
        <v>4</v>
      </c>
      <c r="G72" s="2"/>
      <c r="L72" s="1" t="s">
        <v>393</v>
      </c>
      <c r="M72" t="str">
        <f>IF(Fields[[#This Row],[Reference Entity]]&lt;&gt;"","t" &amp;Fields[[#This Row],[Reference Entity]],"")</f>
        <v>tPlan</v>
      </c>
      <c r="N72" t="str">
        <f>IF(Fields[[#This Row],[Reference Entity]]&lt;&gt;"",RIGHT(Fields[[#This Row],[Column Name]],LEN(Fields[[#This Row],[Column Name]])-2),"")</f>
        <v>Plan</v>
      </c>
      <c r="O72" t="s">
        <v>154</v>
      </c>
      <c r="P72" s="1"/>
      <c r="Q72" t="str">
        <f>Fields[[#This Row],[Column Name]]</f>
        <v>idPlan</v>
      </c>
      <c r="R72"/>
      <c r="S72"/>
    </row>
    <row r="73" spans="1:22" x14ac:dyDescent="0.25">
      <c r="A73">
        <v>2</v>
      </c>
      <c r="B73" t="s">
        <v>63</v>
      </c>
      <c r="C73" t="s">
        <v>354</v>
      </c>
      <c r="D73" s="1" t="s">
        <v>106</v>
      </c>
      <c r="E73" t="s">
        <v>19</v>
      </c>
      <c r="F73" t="s">
        <v>277</v>
      </c>
      <c r="G73" s="2">
        <v>30</v>
      </c>
      <c r="L73" s="1" t="s">
        <v>440</v>
      </c>
      <c r="M73" t="str">
        <f>IF(Fields[[#This Row],[Reference Entity]]&lt;&gt;"","t" &amp;Fields[[#This Row],[Reference Entity]],"")</f>
        <v/>
      </c>
      <c r="N73" t="str">
        <f>IF(Fields[[#This Row],[Reference Entity]]&lt;&gt;"",RIGHT(Fields[[#This Row],[Column Name]],LEN(Fields[[#This Row],[Column Name]])-2),"")</f>
        <v/>
      </c>
      <c r="P73" s="1"/>
      <c r="R73"/>
      <c r="S73"/>
    </row>
    <row r="74" spans="1:22" ht="30" x14ac:dyDescent="0.25">
      <c r="A74">
        <v>3</v>
      </c>
      <c r="B74" t="s">
        <v>63</v>
      </c>
      <c r="C74" t="s">
        <v>102</v>
      </c>
      <c r="D74" s="1" t="s">
        <v>107</v>
      </c>
      <c r="E74" t="s">
        <v>30</v>
      </c>
      <c r="F74" t="s">
        <v>4</v>
      </c>
      <c r="G74" s="2"/>
      <c r="L74" s="1" t="s">
        <v>440</v>
      </c>
      <c r="M74" t="str">
        <f>IF(Fields[[#This Row],[Reference Entity]]&lt;&gt;"","t" &amp;Fields[[#This Row],[Reference Entity]],"")</f>
        <v/>
      </c>
      <c r="N74" t="str">
        <f>IF(Fields[[#This Row],[Reference Entity]]&lt;&gt;"",RIGHT(Fields[[#This Row],[Column Name]],LEN(Fields[[#This Row],[Column Name]])-2),"")</f>
        <v/>
      </c>
      <c r="P74" s="1"/>
      <c r="R74"/>
      <c r="S74"/>
    </row>
    <row r="75" spans="1:22" x14ac:dyDescent="0.25">
      <c r="A75">
        <v>4</v>
      </c>
      <c r="B75" t="s">
        <v>63</v>
      </c>
      <c r="C75" t="s">
        <v>110</v>
      </c>
      <c r="D75" s="1" t="s">
        <v>112</v>
      </c>
      <c r="E75" t="s">
        <v>60</v>
      </c>
      <c r="F75" t="s">
        <v>272</v>
      </c>
      <c r="G75" s="2"/>
      <c r="L75" s="1" t="s">
        <v>440</v>
      </c>
      <c r="M75" t="str">
        <f>IF(Fields[[#This Row],[Reference Entity]]&lt;&gt;"","t" &amp;Fields[[#This Row],[Reference Entity]],"")</f>
        <v/>
      </c>
      <c r="N75" t="str">
        <f>IF(Fields[[#This Row],[Reference Entity]]&lt;&gt;"",RIGHT(Fields[[#This Row],[Column Name]],LEN(Fields[[#This Row],[Column Name]])-2),"")</f>
        <v/>
      </c>
      <c r="P75" s="1"/>
      <c r="R75"/>
      <c r="S75"/>
    </row>
    <row r="76" spans="1:22" x14ac:dyDescent="0.25">
      <c r="A76">
        <v>5</v>
      </c>
      <c r="B76" t="s">
        <v>63</v>
      </c>
      <c r="C76" t="s">
        <v>488</v>
      </c>
      <c r="D76" s="1" t="s">
        <v>489</v>
      </c>
      <c r="E76" t="s">
        <v>18</v>
      </c>
      <c r="F76" t="s">
        <v>6</v>
      </c>
      <c r="G76" s="2"/>
      <c r="L76" s="1"/>
      <c r="M76" t="str">
        <f>IF(Fields[[#This Row],[Reference Entity]]&lt;&gt;"","t" &amp;Fields[[#This Row],[Reference Entity]],"")</f>
        <v/>
      </c>
      <c r="P76" s="1"/>
      <c r="R76"/>
      <c r="S76"/>
    </row>
    <row r="77" spans="1:22" x14ac:dyDescent="0.25">
      <c r="A77">
        <v>1</v>
      </c>
      <c r="B77" t="s">
        <v>103</v>
      </c>
      <c r="C77" t="s">
        <v>104</v>
      </c>
      <c r="D77" s="1" t="s">
        <v>108</v>
      </c>
      <c r="E77" t="s">
        <v>16</v>
      </c>
      <c r="F77" t="s">
        <v>4</v>
      </c>
      <c r="G77" s="2"/>
      <c r="L77" s="1" t="s">
        <v>396</v>
      </c>
      <c r="M77" t="str">
        <f>IF(Fields[[#This Row],[Reference Entity]]&lt;&gt;"","t" &amp;Fields[[#This Row],[Reference Entity]],"")</f>
        <v>tPlanAllocationSchedule</v>
      </c>
      <c r="N77" t="str">
        <f>IF(Fields[[#This Row],[Reference Entity]]&lt;&gt;"",RIGHT(Fields[[#This Row],[Column Name]],LEN(Fields[[#This Row],[Column Name]])-2),"")</f>
        <v>PlanAllocationSchedule</v>
      </c>
      <c r="P77" s="1"/>
      <c r="Q77" t="str">
        <f>Fields[[#This Row],[Column Name]]</f>
        <v>idPlanAllocationSchedule</v>
      </c>
      <c r="R77" t="s">
        <v>20</v>
      </c>
      <c r="S77"/>
    </row>
    <row r="78" spans="1:22" x14ac:dyDescent="0.25">
      <c r="A78">
        <v>2</v>
      </c>
      <c r="B78" t="s">
        <v>103</v>
      </c>
      <c r="C78" t="s">
        <v>29</v>
      </c>
      <c r="D78" s="1" t="s">
        <v>109</v>
      </c>
      <c r="E78" t="s">
        <v>30</v>
      </c>
      <c r="F78" t="s">
        <v>4</v>
      </c>
      <c r="G78" s="2"/>
      <c r="L78" s="1" t="s">
        <v>440</v>
      </c>
      <c r="M78" t="str">
        <f>IF(Fields[[#This Row],[Reference Entity]]&lt;&gt;"","t" &amp;Fields[[#This Row],[Reference Entity]],"")</f>
        <v/>
      </c>
      <c r="N78" t="str">
        <f>IF(Fields[[#This Row],[Reference Entity]]&lt;&gt;"",RIGHT(Fields[[#This Row],[Column Name]],LEN(Fields[[#This Row],[Column Name]])-2),"")</f>
        <v/>
      </c>
      <c r="P78" s="1"/>
      <c r="Q78" t="s">
        <v>104</v>
      </c>
      <c r="R78" t="s">
        <v>20</v>
      </c>
      <c r="S78"/>
    </row>
    <row r="79" spans="1:22" x14ac:dyDescent="0.25">
      <c r="A79">
        <v>3</v>
      </c>
      <c r="B79" t="s">
        <v>103</v>
      </c>
      <c r="C79" t="s">
        <v>105</v>
      </c>
      <c r="D79" s="1" t="s">
        <v>111</v>
      </c>
      <c r="E79" t="s">
        <v>60</v>
      </c>
      <c r="F79" t="s">
        <v>272</v>
      </c>
      <c r="G79" s="2"/>
      <c r="L79" s="1" t="s">
        <v>440</v>
      </c>
      <c r="M79" t="str">
        <f>IF(Fields[[#This Row],[Reference Entity]]&lt;&gt;"","t" &amp;Fields[[#This Row],[Reference Entity]],"")</f>
        <v/>
      </c>
      <c r="N79" t="str">
        <f>IF(Fields[[#This Row],[Reference Entity]]&lt;&gt;"",RIGHT(Fields[[#This Row],[Column Name]],LEN(Fields[[#This Row],[Column Name]])-2),"")</f>
        <v/>
      </c>
      <c r="P79" s="1"/>
      <c r="R79"/>
      <c r="S79"/>
    </row>
    <row r="80" spans="1:22" x14ac:dyDescent="0.25">
      <c r="A80">
        <v>1</v>
      </c>
      <c r="B80" t="s">
        <v>7</v>
      </c>
      <c r="C80" t="s">
        <v>5</v>
      </c>
      <c r="D80" s="1" t="s">
        <v>10</v>
      </c>
      <c r="E80" t="s">
        <v>16</v>
      </c>
      <c r="F80" t="s">
        <v>4</v>
      </c>
      <c r="G80" s="2"/>
      <c r="L80" s="1" t="s">
        <v>159</v>
      </c>
      <c r="M80" t="str">
        <f>IF(Fields[[#This Row],[Reference Entity]]&lt;&gt;"","t" &amp;Fields[[#This Row],[Reference Entity]],"")</f>
        <v>tClient</v>
      </c>
      <c r="N80" t="str">
        <f>IF(Fields[[#This Row],[Reference Entity]]&lt;&gt;"",RIGHT(Fields[[#This Row],[Column Name]],LEN(Fields[[#This Row],[Column Name]])-2),"")</f>
        <v>Client</v>
      </c>
      <c r="O80" t="s">
        <v>154</v>
      </c>
      <c r="P80" s="1"/>
      <c r="Q80" t="str">
        <f>Fields[[#This Row],[Column Name]]</f>
        <v>idClient</v>
      </c>
      <c r="R80"/>
      <c r="S80"/>
    </row>
    <row r="81" spans="1:22" x14ac:dyDescent="0.25">
      <c r="A81">
        <v>2</v>
      </c>
      <c r="B81" t="s">
        <v>7</v>
      </c>
      <c r="C81" t="s">
        <v>341</v>
      </c>
      <c r="D81" s="1" t="s">
        <v>11</v>
      </c>
      <c r="E81" t="s">
        <v>16</v>
      </c>
      <c r="F81" t="s">
        <v>4</v>
      </c>
      <c r="G81" s="2"/>
      <c r="L81" s="1" t="s">
        <v>388</v>
      </c>
      <c r="M81" t="str">
        <f>IF(Fields[[#This Row],[Reference Entity]]&lt;&gt;"","t" &amp;Fields[[#This Row],[Reference Entity]],"")</f>
        <v>tCostCenter</v>
      </c>
      <c r="N81" t="str">
        <f>IF(Fields[[#This Row],[Reference Entity]]&lt;&gt;"",RIGHT(Fields[[#This Row],[Column Name]],LEN(Fields[[#This Row],[Column Name]])-2),"")</f>
        <v>CostCenterPlanElement</v>
      </c>
      <c r="P81" s="1"/>
      <c r="Q81" t="str">
        <f>Fields[[#This Row],[Column Name]]</f>
        <v>idCostCenterPlanElement</v>
      </c>
      <c r="R81"/>
      <c r="S81"/>
    </row>
    <row r="82" spans="1:22" ht="45" x14ac:dyDescent="0.25">
      <c r="A82">
        <v>3</v>
      </c>
      <c r="B82" t="s">
        <v>7</v>
      </c>
      <c r="C82" t="s">
        <v>367</v>
      </c>
      <c r="D82" s="1" t="s">
        <v>12</v>
      </c>
      <c r="E82" t="s">
        <v>134</v>
      </c>
      <c r="F82" t="s">
        <v>271</v>
      </c>
      <c r="G82" s="2"/>
      <c r="I82">
        <v>0</v>
      </c>
      <c r="K82" s="1" t="s">
        <v>446</v>
      </c>
      <c r="L82" s="1" t="s">
        <v>440</v>
      </c>
      <c r="M82" t="str">
        <f>IF(Fields[[#This Row],[Reference Entity]]&lt;&gt;"","t" &amp;Fields[[#This Row],[Reference Entity]],"")</f>
        <v/>
      </c>
      <c r="N82" t="str">
        <f>IF(Fields[[#This Row],[Reference Entity]]&lt;&gt;"",RIGHT(Fields[[#This Row],[Column Name]],LEN(Fields[[#This Row],[Column Name]])-2),"")</f>
        <v/>
      </c>
      <c r="P82" s="1"/>
      <c r="R82"/>
      <c r="S82"/>
    </row>
    <row r="83" spans="1:22" ht="30" x14ac:dyDescent="0.25">
      <c r="A83">
        <v>4</v>
      </c>
      <c r="B83" t="s">
        <v>7</v>
      </c>
      <c r="C83" t="s">
        <v>41</v>
      </c>
      <c r="D83" s="1" t="s">
        <v>42</v>
      </c>
      <c r="E83" t="s">
        <v>16</v>
      </c>
      <c r="F83" t="s">
        <v>4</v>
      </c>
      <c r="G83" s="2"/>
      <c r="H83" t="s">
        <v>20</v>
      </c>
      <c r="L83" s="1" t="s">
        <v>395</v>
      </c>
      <c r="M83" t="str">
        <f>IF(Fields[[#This Row],[Reference Entity]]&lt;&gt;"","t" &amp;Fields[[#This Row],[Reference Entity]],"")</f>
        <v>tPlanGroup</v>
      </c>
      <c r="N83" t="str">
        <f>IF(Fields[[#This Row],[Reference Entity]]&lt;&gt;"",RIGHT(Fields[[#This Row],[Column Name]],LEN(Fields[[#This Row],[Column Name]])-2),"")</f>
        <v>PlanGroup</v>
      </c>
      <c r="P83" s="1"/>
      <c r="Q83" t="str">
        <f>Fields[[#This Row],[Column Name]]</f>
        <v>idPlanGroup</v>
      </c>
      <c r="R83"/>
      <c r="S83"/>
    </row>
    <row r="84" spans="1:22" x14ac:dyDescent="0.25">
      <c r="A84">
        <v>5</v>
      </c>
      <c r="B84" t="s">
        <v>7</v>
      </c>
      <c r="C84" t="s">
        <v>355</v>
      </c>
      <c r="D84" s="1" t="s">
        <v>44</v>
      </c>
      <c r="E84" t="s">
        <v>19</v>
      </c>
      <c r="F84" t="s">
        <v>277</v>
      </c>
      <c r="G84" s="2">
        <v>50</v>
      </c>
      <c r="L84" s="1" t="s">
        <v>440</v>
      </c>
      <c r="M84" t="str">
        <f>IF(Fields[[#This Row],[Reference Entity]]&lt;&gt;"","t" &amp;Fields[[#This Row],[Reference Entity]],"")</f>
        <v/>
      </c>
      <c r="N84" t="str">
        <f>IF(Fields[[#This Row],[Reference Entity]]&lt;&gt;"",RIGHT(Fields[[#This Row],[Column Name]],LEN(Fields[[#This Row],[Column Name]])-2),"")</f>
        <v/>
      </c>
      <c r="P84" s="1"/>
      <c r="R84"/>
      <c r="S84"/>
    </row>
    <row r="85" spans="1:22" ht="60" x14ac:dyDescent="0.25">
      <c r="A85">
        <v>6</v>
      </c>
      <c r="B85" t="s">
        <v>7</v>
      </c>
      <c r="C85" t="s">
        <v>346</v>
      </c>
      <c r="D85" s="1" t="s">
        <v>37</v>
      </c>
      <c r="E85" t="s">
        <v>19</v>
      </c>
      <c r="F85" t="s">
        <v>277</v>
      </c>
      <c r="G85" s="2">
        <v>15</v>
      </c>
      <c r="H85" t="s">
        <v>20</v>
      </c>
      <c r="I85" s="4" t="s">
        <v>440</v>
      </c>
      <c r="L85" s="1" t="s">
        <v>440</v>
      </c>
      <c r="M85" t="str">
        <f>IF(Fields[[#This Row],[Reference Entity]]&lt;&gt;"","t" &amp;Fields[[#This Row],[Reference Entity]],"")</f>
        <v/>
      </c>
      <c r="N85" t="str">
        <f>IF(Fields[[#This Row],[Reference Entity]]&lt;&gt;"",RIGHT(Fields[[#This Row],[Column Name]],LEN(Fields[[#This Row],[Column Name]])-2),"")</f>
        <v/>
      </c>
      <c r="P85" s="1"/>
      <c r="Q85" t="str">
        <f>Fields[[#This Row],[Column Name]]</f>
        <v>ReferenceIDPlanElement</v>
      </c>
      <c r="R85"/>
      <c r="S85"/>
    </row>
    <row r="86" spans="1:22" ht="30" x14ac:dyDescent="0.25">
      <c r="A86">
        <v>7</v>
      </c>
      <c r="B86" t="s">
        <v>7</v>
      </c>
      <c r="C86" t="s">
        <v>337</v>
      </c>
      <c r="D86" s="1" t="s">
        <v>14</v>
      </c>
      <c r="E86" t="s">
        <v>18</v>
      </c>
      <c r="F86" t="s">
        <v>6</v>
      </c>
      <c r="G86" s="2"/>
      <c r="I86">
        <v>0</v>
      </c>
      <c r="L86" s="1" t="s">
        <v>440</v>
      </c>
      <c r="M86" t="str">
        <f>IF(Fields[[#This Row],[Reference Entity]]&lt;&gt;"","t" &amp;Fields[[#This Row],[Reference Entity]],"")</f>
        <v/>
      </c>
      <c r="N86" t="str">
        <f>IF(Fields[[#This Row],[Reference Entity]]&lt;&gt;"",RIGHT(Fields[[#This Row],[Column Name]],LEN(Fields[[#This Row],[Column Name]])-2),"")</f>
        <v/>
      </c>
      <c r="P86" s="1" t="s">
        <v>49</v>
      </c>
      <c r="R86"/>
      <c r="S86"/>
    </row>
    <row r="87" spans="1:22" x14ac:dyDescent="0.25">
      <c r="A87">
        <v>8</v>
      </c>
      <c r="B87" t="s">
        <v>7</v>
      </c>
      <c r="C87" t="s">
        <v>332</v>
      </c>
      <c r="D87" s="1" t="s">
        <v>46</v>
      </c>
      <c r="E87" t="s">
        <v>45</v>
      </c>
      <c r="F87" t="s">
        <v>277</v>
      </c>
      <c r="G87" s="2" t="s">
        <v>276</v>
      </c>
      <c r="H87" t="s">
        <v>20</v>
      </c>
      <c r="L87" s="1" t="s">
        <v>440</v>
      </c>
      <c r="M87" t="str">
        <f>IF(Fields[[#This Row],[Reference Entity]]&lt;&gt;"","t" &amp;Fields[[#This Row],[Reference Entity]],"")</f>
        <v/>
      </c>
      <c r="N87" t="str">
        <f>IF(Fields[[#This Row],[Reference Entity]]&lt;&gt;"",RIGHT(Fields[[#This Row],[Column Name]],LEN(Fields[[#This Row],[Column Name]])-2),"")</f>
        <v/>
      </c>
      <c r="P87" s="1"/>
      <c r="R87"/>
      <c r="S87"/>
    </row>
    <row r="88" spans="1:22" x14ac:dyDescent="0.25">
      <c r="A88">
        <v>1</v>
      </c>
      <c r="B88" t="s">
        <v>126</v>
      </c>
      <c r="C88" t="s">
        <v>59</v>
      </c>
      <c r="D88" s="1" t="s">
        <v>152</v>
      </c>
      <c r="E88" t="s">
        <v>16</v>
      </c>
      <c r="F88" t="s">
        <v>4</v>
      </c>
      <c r="G88" s="2"/>
      <c r="L88" s="1" t="s">
        <v>394</v>
      </c>
      <c r="M88" t="str">
        <f>IF(Fields[[#This Row],[Reference Entity]]&lt;&gt;"","t" &amp;Fields[[#This Row],[Reference Entity]],"")</f>
        <v>tPlanElement</v>
      </c>
      <c r="N88" t="str">
        <f>IF(Fields[[#This Row],[Reference Entity]]&lt;&gt;"",RIGHT(Fields[[#This Row],[Column Name]],LEN(Fields[[#This Row],[Column Name]])-2),"")</f>
        <v>PlanElement</v>
      </c>
      <c r="P88" s="1"/>
      <c r="Q88" t="str">
        <f>Fields[[#This Row],[Column Name]]</f>
        <v>idPlanElement</v>
      </c>
      <c r="R88"/>
      <c r="S88"/>
      <c r="V88" s="1"/>
    </row>
    <row r="89" spans="1:22" x14ac:dyDescent="0.25">
      <c r="A89">
        <v>2</v>
      </c>
      <c r="B89" t="s">
        <v>126</v>
      </c>
      <c r="C89" t="s">
        <v>53</v>
      </c>
      <c r="D89" s="1" t="s">
        <v>487</v>
      </c>
      <c r="E89" t="s">
        <v>16</v>
      </c>
      <c r="F89" t="s">
        <v>4</v>
      </c>
      <c r="G89" s="2"/>
      <c r="L89" s="1" t="s">
        <v>393</v>
      </c>
      <c r="M89" t="str">
        <f>IF(Fields[[#This Row],[Reference Entity]]&lt;&gt;"","t" &amp;Fields[[#This Row],[Reference Entity]],"")</f>
        <v>tPlan</v>
      </c>
      <c r="N89" t="str">
        <f>IF(Fields[[#This Row],[Reference Entity]]&lt;&gt;"",RIGHT(Fields[[#This Row],[Column Name]],LEN(Fields[[#This Row],[Column Name]])-2),"")</f>
        <v>Plan</v>
      </c>
      <c r="O89" t="s">
        <v>154</v>
      </c>
      <c r="P89" s="1"/>
      <c r="Q89" t="str">
        <f>Fields[[#This Row],[Column Name]]</f>
        <v>idPlan</v>
      </c>
      <c r="R89"/>
      <c r="S89"/>
      <c r="V89" s="1"/>
    </row>
    <row r="90" spans="1:22" x14ac:dyDescent="0.25">
      <c r="A90">
        <v>1</v>
      </c>
      <c r="B90" t="s">
        <v>15</v>
      </c>
      <c r="C90" t="s">
        <v>29</v>
      </c>
      <c r="D90" s="1" t="s">
        <v>32</v>
      </c>
      <c r="E90" t="s">
        <v>30</v>
      </c>
      <c r="F90" t="s">
        <v>4</v>
      </c>
      <c r="G90" s="2"/>
      <c r="L90" s="1" t="s">
        <v>440</v>
      </c>
      <c r="M90" t="str">
        <f>IF(Fields[[#This Row],[Reference Entity]]&lt;&gt;"","t" &amp;Fields[[#This Row],[Reference Entity]],"")</f>
        <v/>
      </c>
      <c r="N90" t="str">
        <f>IF(Fields[[#This Row],[Reference Entity]]&lt;&gt;"",RIGHT(Fields[[#This Row],[Column Name]],LEN(Fields[[#This Row],[Column Name]])-2),"")</f>
        <v/>
      </c>
      <c r="P90" s="1"/>
      <c r="R90"/>
      <c r="S90"/>
    </row>
    <row r="91" spans="1:22" x14ac:dyDescent="0.25">
      <c r="A91">
        <v>2</v>
      </c>
      <c r="B91" t="s">
        <v>15</v>
      </c>
      <c r="C91" t="s">
        <v>514</v>
      </c>
      <c r="D91" s="1" t="s">
        <v>33</v>
      </c>
      <c r="E91" t="s">
        <v>19</v>
      </c>
      <c r="F91" t="s">
        <v>277</v>
      </c>
      <c r="G91" s="2">
        <v>20</v>
      </c>
      <c r="L91" s="1" t="s">
        <v>440</v>
      </c>
      <c r="M91" t="str">
        <f>IF(Fields[[#This Row],[Reference Entity]]&lt;&gt;"","t" &amp;Fields[[#This Row],[Reference Entity]],"")</f>
        <v/>
      </c>
      <c r="N91" t="str">
        <f>IF(Fields[[#This Row],[Reference Entity]]&lt;&gt;"",RIGHT(Fields[[#This Row],[Column Name]],LEN(Fields[[#This Row],[Column Name]])-2),"")</f>
        <v/>
      </c>
      <c r="P91" s="1"/>
      <c r="R91"/>
      <c r="S91"/>
      <c r="V91" t="s">
        <v>515</v>
      </c>
    </row>
    <row r="92" spans="1:22" ht="45" x14ac:dyDescent="0.25">
      <c r="A92">
        <v>1</v>
      </c>
      <c r="B92" t="s">
        <v>119</v>
      </c>
      <c r="C92" t="s">
        <v>53</v>
      </c>
      <c r="D92" s="1" t="s">
        <v>73</v>
      </c>
      <c r="E92" t="s">
        <v>16</v>
      </c>
      <c r="F92" t="s">
        <v>4</v>
      </c>
      <c r="G92" s="2"/>
      <c r="L92" s="1" t="s">
        <v>393</v>
      </c>
      <c r="M92" t="str">
        <f>IF(Fields[[#This Row],[Reference Entity]]&lt;&gt;"","t" &amp;Fields[[#This Row],[Reference Entity]],"")</f>
        <v>tPlan</v>
      </c>
      <c r="N92" t="str">
        <f>IF(Fields[[#This Row],[Reference Entity]]&lt;&gt;"",RIGHT(Fields[[#This Row],[Column Name]],LEN(Fields[[#This Row],[Column Name]])-2),"")</f>
        <v>Plan</v>
      </c>
      <c r="O92" t="s">
        <v>154</v>
      </c>
      <c r="P92" s="1"/>
      <c r="Q92" t="str">
        <f>Fields[[#This Row],[Column Name]]</f>
        <v>idPlan</v>
      </c>
      <c r="R92" t="s">
        <v>20</v>
      </c>
      <c r="S92"/>
    </row>
    <row r="93" spans="1:22" x14ac:dyDescent="0.25">
      <c r="A93">
        <v>2</v>
      </c>
      <c r="B93" t="s">
        <v>119</v>
      </c>
      <c r="C93" t="s">
        <v>356</v>
      </c>
      <c r="D93" s="1" t="s">
        <v>116</v>
      </c>
      <c r="E93" t="s">
        <v>19</v>
      </c>
      <c r="F93" t="s">
        <v>277</v>
      </c>
      <c r="G93" s="2">
        <v>30</v>
      </c>
      <c r="L93" s="1" t="s">
        <v>440</v>
      </c>
      <c r="M93" t="str">
        <f>IF(Fields[[#This Row],[Reference Entity]]&lt;&gt;"","t" &amp;Fields[[#This Row],[Reference Entity]],"")</f>
        <v/>
      </c>
      <c r="N93" t="str">
        <f>IF(Fields[[#This Row],[Reference Entity]]&lt;&gt;"",RIGHT(Fields[[#This Row],[Column Name]],LEN(Fields[[#This Row],[Column Name]])-2),"")</f>
        <v/>
      </c>
      <c r="P93" s="1"/>
      <c r="R93"/>
      <c r="S93"/>
    </row>
    <row r="94" spans="1:22" x14ac:dyDescent="0.25">
      <c r="A94">
        <v>3</v>
      </c>
      <c r="B94" t="s">
        <v>119</v>
      </c>
      <c r="C94" t="s">
        <v>344</v>
      </c>
      <c r="D94" s="1" t="s">
        <v>123</v>
      </c>
      <c r="E94" t="s">
        <v>16</v>
      </c>
      <c r="F94" t="s">
        <v>4</v>
      </c>
      <c r="G94" s="2"/>
      <c r="L94" s="1" t="s">
        <v>384</v>
      </c>
      <c r="M94" t="str">
        <f>IF(Fields[[#This Row],[Reference Entity]]&lt;&gt;"","t" &amp;Fields[[#This Row],[Reference Entity]],"")</f>
        <v>tCurrency</v>
      </c>
      <c r="N94" t="str">
        <f>IF(Fields[[#This Row],[Reference Entity]]&lt;&gt;"",RIGHT(Fields[[#This Row],[Column Name]],LEN(Fields[[#This Row],[Column Name]])-2),"")</f>
        <v>CurrencyExchangeRate</v>
      </c>
      <c r="P94" s="1"/>
      <c r="Q94" t="str">
        <f>Fields[[#This Row],[Column Name]]</f>
        <v>idCurrencyExchangeRate</v>
      </c>
      <c r="R94" t="s">
        <v>20</v>
      </c>
      <c r="S94"/>
    </row>
    <row r="95" spans="1:22" x14ac:dyDescent="0.25">
      <c r="A95">
        <v>4</v>
      </c>
      <c r="B95" t="s">
        <v>119</v>
      </c>
      <c r="C95" t="s">
        <v>124</v>
      </c>
      <c r="D95" s="1" t="s">
        <v>125</v>
      </c>
      <c r="E95" t="s">
        <v>60</v>
      </c>
      <c r="F95" t="s">
        <v>272</v>
      </c>
      <c r="G95" s="2"/>
      <c r="L95" s="1" t="s">
        <v>440</v>
      </c>
      <c r="M95" t="str">
        <f>IF(Fields[[#This Row],[Reference Entity]]&lt;&gt;"","t" &amp;Fields[[#This Row],[Reference Entity]],"")</f>
        <v/>
      </c>
      <c r="N95" t="str">
        <f>IF(Fields[[#This Row],[Reference Entity]]&lt;&gt;"",RIGHT(Fields[[#This Row],[Column Name]],LEN(Fields[[#This Row],[Column Name]])-2),"")</f>
        <v/>
      </c>
      <c r="P95" s="1"/>
      <c r="R95"/>
      <c r="S95"/>
    </row>
    <row r="96" spans="1:22" x14ac:dyDescent="0.25">
      <c r="A96">
        <v>1</v>
      </c>
      <c r="B96" t="s">
        <v>40</v>
      </c>
      <c r="C96" t="s">
        <v>5</v>
      </c>
      <c r="D96" s="1" t="s">
        <v>10</v>
      </c>
      <c r="E96" t="s">
        <v>16</v>
      </c>
      <c r="F96" t="s">
        <v>4</v>
      </c>
      <c r="G96" s="2"/>
      <c r="L96" s="1" t="s">
        <v>159</v>
      </c>
      <c r="M96" t="str">
        <f>IF(Fields[[#This Row],[Reference Entity]]&lt;&gt;"","t" &amp;Fields[[#This Row],[Reference Entity]],"")</f>
        <v>tClient</v>
      </c>
      <c r="N96" t="str">
        <f>IF(Fields[[#This Row],[Reference Entity]]&lt;&gt;"",RIGHT(Fields[[#This Row],[Column Name]],LEN(Fields[[#This Row],[Column Name]])-2),"")</f>
        <v>Client</v>
      </c>
      <c r="O96" t="s">
        <v>154</v>
      </c>
      <c r="P96" s="1"/>
      <c r="Q96" t="str">
        <f>Fields[[#This Row],[Column Name]]</f>
        <v>idClient</v>
      </c>
      <c r="R96"/>
      <c r="S96"/>
    </row>
    <row r="97" spans="1:22" x14ac:dyDescent="0.25">
      <c r="A97">
        <v>2</v>
      </c>
      <c r="B97" t="s">
        <v>40</v>
      </c>
      <c r="C97" t="s">
        <v>357</v>
      </c>
      <c r="D97" s="1" t="s">
        <v>43</v>
      </c>
      <c r="E97" t="s">
        <v>19</v>
      </c>
      <c r="F97" t="s">
        <v>277</v>
      </c>
      <c r="G97" s="2">
        <v>30</v>
      </c>
      <c r="L97" s="1" t="s">
        <v>440</v>
      </c>
      <c r="M97" t="str">
        <f>IF(Fields[[#This Row],[Reference Entity]]&lt;&gt;"","t" &amp;Fields[[#This Row],[Reference Entity]],"")</f>
        <v/>
      </c>
      <c r="N97" t="str">
        <f>IF(Fields[[#This Row],[Reference Entity]]&lt;&gt;"",RIGHT(Fields[[#This Row],[Column Name]],LEN(Fields[[#This Row],[Column Name]])-2),"")</f>
        <v/>
      </c>
      <c r="P97" s="1"/>
      <c r="R97"/>
      <c r="S97"/>
    </row>
    <row r="98" spans="1:22" ht="45" x14ac:dyDescent="0.25">
      <c r="A98">
        <v>1</v>
      </c>
      <c r="B98" t="s">
        <v>519</v>
      </c>
      <c r="C98" t="s">
        <v>53</v>
      </c>
      <c r="D98" s="1" t="s">
        <v>73</v>
      </c>
      <c r="E98" t="s">
        <v>16</v>
      </c>
      <c r="F98" t="s">
        <v>4</v>
      </c>
      <c r="G98" s="2"/>
      <c r="L98" s="1" t="s">
        <v>393</v>
      </c>
      <c r="M98" t="str">
        <f>IF(Fields[[#This Row],[Reference Entity]]&lt;&gt;"","t" &amp;Fields[[#This Row],[Reference Entity]],"")</f>
        <v>tPlan</v>
      </c>
      <c r="N98" t="str">
        <f>IF(Fields[[#This Row],[Reference Entity]]&lt;&gt;"",RIGHT(Fields[[#This Row],[Column Name]],LEN(Fields[[#This Row],[Column Name]])-2),"")</f>
        <v>Plan</v>
      </c>
      <c r="O98" t="s">
        <v>154</v>
      </c>
      <c r="P98" s="1"/>
      <c r="T98" s="1"/>
      <c r="U98" s="1"/>
    </row>
    <row r="99" spans="1:22" x14ac:dyDescent="0.25">
      <c r="A99">
        <v>2</v>
      </c>
      <c r="B99" t="s">
        <v>519</v>
      </c>
      <c r="C99" t="s">
        <v>520</v>
      </c>
      <c r="D99" s="1" t="s">
        <v>521</v>
      </c>
      <c r="E99" t="s">
        <v>19</v>
      </c>
      <c r="F99" t="s">
        <v>277</v>
      </c>
      <c r="G99" s="2">
        <v>30</v>
      </c>
      <c r="L99" s="1" t="s">
        <v>440</v>
      </c>
      <c r="M99" t="str">
        <f>IF(Fields[[#This Row],[Reference Entity]]&lt;&gt;"","t" &amp;Fields[[#This Row],[Reference Entity]],"")</f>
        <v/>
      </c>
      <c r="N99" t="str">
        <f>IF(Fields[[#This Row],[Reference Entity]]&lt;&gt;"",RIGHT(Fields[[#This Row],[Column Name]],LEN(Fields[[#This Row],[Column Name]])-2),"")</f>
        <v/>
      </c>
      <c r="P99" s="1"/>
      <c r="T99" s="1"/>
      <c r="U99" s="1"/>
    </row>
    <row r="100" spans="1:22" x14ac:dyDescent="0.25">
      <c r="A100">
        <v>3</v>
      </c>
      <c r="B100" t="s">
        <v>519</v>
      </c>
      <c r="C100" t="s">
        <v>522</v>
      </c>
      <c r="D100" s="1" t="s">
        <v>523</v>
      </c>
      <c r="E100" t="s">
        <v>134</v>
      </c>
      <c r="F100" t="s">
        <v>271</v>
      </c>
      <c r="G100" s="2"/>
      <c r="I100">
        <v>12</v>
      </c>
      <c r="L100" s="1" t="s">
        <v>440</v>
      </c>
      <c r="M100" t="str">
        <f>IF(Fields[[#This Row],[Reference Entity]]&lt;&gt;"","t" &amp;Fields[[#This Row],[Reference Entity]],"")</f>
        <v/>
      </c>
      <c r="N100" t="str">
        <f>IF(Fields[[#This Row],[Reference Entity]]&lt;&gt;"",RIGHT(Fields[[#This Row],[Column Name]],LEN(Fields[[#This Row],[Column Name]])-2),"")</f>
        <v/>
      </c>
      <c r="P100" s="1"/>
      <c r="T100" s="1"/>
      <c r="U100" s="1"/>
    </row>
    <row r="101" spans="1:22" x14ac:dyDescent="0.25">
      <c r="A101">
        <v>4</v>
      </c>
      <c r="B101" t="s">
        <v>519</v>
      </c>
      <c r="C101" t="s">
        <v>524</v>
      </c>
      <c r="D101" s="1" t="s">
        <v>525</v>
      </c>
      <c r="E101" t="s">
        <v>60</v>
      </c>
      <c r="F101" t="s">
        <v>272</v>
      </c>
      <c r="G101" s="2"/>
      <c r="I101">
        <v>0</v>
      </c>
      <c r="L101" s="1" t="s">
        <v>440</v>
      </c>
      <c r="M101" t="str">
        <f>IF(Fields[[#This Row],[Reference Entity]]&lt;&gt;"","t" &amp;Fields[[#This Row],[Reference Entity]],"")</f>
        <v/>
      </c>
      <c r="N101" t="str">
        <f>IF(Fields[[#This Row],[Reference Entity]]&lt;&gt;"",RIGHT(Fields[[#This Row],[Column Name]],LEN(Fields[[#This Row],[Column Name]])-2),"")</f>
        <v/>
      </c>
      <c r="P101" s="1"/>
      <c r="T101" s="1"/>
      <c r="U101" s="1"/>
    </row>
    <row r="102" spans="1:22" x14ac:dyDescent="0.25">
      <c r="A102">
        <v>5</v>
      </c>
      <c r="B102" t="s">
        <v>519</v>
      </c>
      <c r="C102" t="s">
        <v>530</v>
      </c>
      <c r="D102" s="1" t="s">
        <v>531</v>
      </c>
      <c r="E102" t="s">
        <v>45</v>
      </c>
      <c r="F102" t="s">
        <v>277</v>
      </c>
      <c r="G102" s="2" t="s">
        <v>276</v>
      </c>
      <c r="H102" t="s">
        <v>20</v>
      </c>
      <c r="L102" s="1" t="s">
        <v>440</v>
      </c>
      <c r="M102" t="str">
        <f>IF(Fields[[#This Row],[Reference Entity]]&lt;&gt;"","t" &amp;Fields[[#This Row],[Reference Entity]],"")</f>
        <v/>
      </c>
      <c r="N102" t="str">
        <f>IF(Fields[[#This Row],[Reference Entity]]&lt;&gt;"",RIGHT(Fields[[#This Row],[Column Name]],LEN(Fields[[#This Row],[Column Name]])-2),"")</f>
        <v/>
      </c>
      <c r="P102" s="1"/>
      <c r="T102" s="1"/>
      <c r="U102" s="1"/>
      <c r="V102" t="s">
        <v>532</v>
      </c>
    </row>
    <row r="103" spans="1:22" ht="75" x14ac:dyDescent="0.25">
      <c r="A103">
        <v>1</v>
      </c>
      <c r="B103" t="s">
        <v>442</v>
      </c>
      <c r="C103" t="s">
        <v>155</v>
      </c>
      <c r="D103" s="1" t="s">
        <v>156</v>
      </c>
      <c r="E103" t="s">
        <v>16</v>
      </c>
      <c r="F103" t="s">
        <v>4</v>
      </c>
      <c r="G103" s="2"/>
      <c r="L103" s="1" t="s">
        <v>397</v>
      </c>
      <c r="M103" t="str">
        <f>IF(Fields[[#This Row],[Reference Entity]]&lt;&gt;"","t" &amp;Fields[[#This Row],[Reference Entity]],"")</f>
        <v>tPlanElementInstance</v>
      </c>
      <c r="N103" t="str">
        <f>IF(Fields[[#This Row],[Reference Entity]]&lt;&gt;"",RIGHT(Fields[[#This Row],[Column Name]],LEN(Fields[[#This Row],[Column Name]])-2),"")</f>
        <v>PlanInstance</v>
      </c>
      <c r="O103" t="s">
        <v>154</v>
      </c>
      <c r="P103" s="1"/>
      <c r="Q103" t="str">
        <f>Fields[[#This Row],[Column Name]]</f>
        <v>idPlanInstance</v>
      </c>
      <c r="R103"/>
      <c r="S103"/>
    </row>
    <row r="104" spans="1:22" x14ac:dyDescent="0.25">
      <c r="A104">
        <v>2</v>
      </c>
      <c r="B104" t="s">
        <v>442</v>
      </c>
      <c r="C104" t="s">
        <v>208</v>
      </c>
      <c r="D104" s="1" t="s">
        <v>209</v>
      </c>
      <c r="E104" t="s">
        <v>16</v>
      </c>
      <c r="F104" t="s">
        <v>4</v>
      </c>
      <c r="G104" s="2"/>
      <c r="L104" s="1" t="s">
        <v>386</v>
      </c>
      <c r="M104" t="str">
        <f>IF(Fields[[#This Row],[Reference Entity]]&lt;&gt;"","t" &amp;Fields[[#This Row],[Reference Entity]],"")</f>
        <v>tAccount</v>
      </c>
      <c r="N104" t="str">
        <f>IF(Fields[[#This Row],[Reference Entity]]&lt;&gt;"",RIGHT(Fields[[#This Row],[Column Name]],LEN(Fields[[#This Row],[Column Name]])-2),"")</f>
        <v>AccountMain</v>
      </c>
      <c r="P104" s="1"/>
      <c r="Q104" t="str">
        <f>Fields[[#This Row],[Column Name]]</f>
        <v>idAccountMain</v>
      </c>
      <c r="R104"/>
      <c r="S104"/>
      <c r="U104" t="s">
        <v>415</v>
      </c>
    </row>
    <row r="105" spans="1:22" ht="30" x14ac:dyDescent="0.25">
      <c r="A105">
        <v>3</v>
      </c>
      <c r="B105" t="s">
        <v>442</v>
      </c>
      <c r="C105" t="s">
        <v>54</v>
      </c>
      <c r="D105" s="1" t="s">
        <v>74</v>
      </c>
      <c r="E105" t="s">
        <v>16</v>
      </c>
      <c r="F105" t="s">
        <v>4</v>
      </c>
      <c r="G105" s="2"/>
      <c r="H105" t="s">
        <v>20</v>
      </c>
      <c r="L105" s="1" t="s">
        <v>396</v>
      </c>
      <c r="M105" t="str">
        <f>IF(Fields[[#This Row],[Reference Entity]]&lt;&gt;"","t" &amp;Fields[[#This Row],[Reference Entity]],"")</f>
        <v>tPlanAllocationSchedule</v>
      </c>
      <c r="N105" t="str">
        <f>IF(Fields[[#This Row],[Reference Entity]]&lt;&gt;"",RIGHT(Fields[[#This Row],[Column Name]],LEN(Fields[[#This Row],[Column Name]])-2),"")</f>
        <v>AllocationSchedule</v>
      </c>
      <c r="P105" s="1"/>
      <c r="Q105" t="str">
        <f>Fields[[#This Row],[Column Name]]</f>
        <v>idAllocationSchedule</v>
      </c>
      <c r="R105"/>
      <c r="S105"/>
    </row>
    <row r="106" spans="1:22" x14ac:dyDescent="0.25">
      <c r="A106">
        <v>4</v>
      </c>
      <c r="B106" t="s">
        <v>442</v>
      </c>
      <c r="C106" t="s">
        <v>150</v>
      </c>
      <c r="D106" s="1" t="s">
        <v>149</v>
      </c>
      <c r="E106" t="s">
        <v>134</v>
      </c>
      <c r="F106" t="s">
        <v>271</v>
      </c>
      <c r="G106" s="2"/>
      <c r="I106">
        <v>0</v>
      </c>
      <c r="K106" s="1" t="s">
        <v>150</v>
      </c>
      <c r="L106" s="1" t="s">
        <v>440</v>
      </c>
      <c r="M106" t="str">
        <f>IF(Fields[[#This Row],[Reference Entity]]&lt;&gt;"","t" &amp;Fields[[#This Row],[Reference Entity]],"")</f>
        <v/>
      </c>
      <c r="N106" t="str">
        <f>IF(Fields[[#This Row],[Reference Entity]]&lt;&gt;"",RIGHT(Fields[[#This Row],[Column Name]],LEN(Fields[[#This Row],[Column Name]])-2),"")</f>
        <v/>
      </c>
      <c r="P106" s="1"/>
      <c r="R106"/>
      <c r="S106"/>
    </row>
    <row r="107" spans="1:22" x14ac:dyDescent="0.25">
      <c r="A107">
        <v>5</v>
      </c>
      <c r="B107" t="s">
        <v>442</v>
      </c>
      <c r="C107" t="s">
        <v>212</v>
      </c>
      <c r="D107" s="1" t="s">
        <v>210</v>
      </c>
      <c r="E107" t="s">
        <v>16</v>
      </c>
      <c r="F107" t="s">
        <v>4</v>
      </c>
      <c r="G107" s="2"/>
      <c r="H107" t="s">
        <v>20</v>
      </c>
      <c r="L107" s="1" t="s">
        <v>386</v>
      </c>
      <c r="M107" t="str">
        <f>IF(Fields[[#This Row],[Reference Entity]]&lt;&gt;"","t" &amp;Fields[[#This Row],[Reference Entity]],"")</f>
        <v>tAccount</v>
      </c>
      <c r="N107" t="str">
        <f>IF(Fields[[#This Row],[Reference Entity]]&lt;&gt;"",RIGHT(Fields[[#This Row],[Column Name]],LEN(Fields[[#This Row],[Column Name]])-2),"")</f>
        <v>AccountAdvanceAccrual</v>
      </c>
      <c r="P107" s="1"/>
      <c r="Q107" t="str">
        <f>Fields[[#This Row],[Column Name]]</f>
        <v>idAccountAdvanceAccrual</v>
      </c>
      <c r="R107"/>
      <c r="S107"/>
      <c r="U107" t="s">
        <v>414</v>
      </c>
    </row>
    <row r="108" spans="1:22" ht="30" x14ac:dyDescent="0.25">
      <c r="A108">
        <v>6</v>
      </c>
      <c r="B108" t="s">
        <v>442</v>
      </c>
      <c r="C108" t="s">
        <v>211</v>
      </c>
      <c r="D108" s="1" t="s">
        <v>214</v>
      </c>
      <c r="E108" t="s">
        <v>30</v>
      </c>
      <c r="F108" t="s">
        <v>4</v>
      </c>
      <c r="G108" s="2"/>
      <c r="I108">
        <v>0</v>
      </c>
      <c r="L108" s="1" t="s">
        <v>440</v>
      </c>
      <c r="M108" t="str">
        <f>IF(Fields[[#This Row],[Reference Entity]]&lt;&gt;"","t" &amp;Fields[[#This Row],[Reference Entity]],"")</f>
        <v/>
      </c>
      <c r="N108" t="str">
        <f>IF(Fields[[#This Row],[Reference Entity]]&lt;&gt;"",RIGHT(Fields[[#This Row],[Column Name]],LEN(Fields[[#This Row],[Column Name]])-2),"")</f>
        <v/>
      </c>
      <c r="P108" s="1"/>
      <c r="R108"/>
      <c r="S108"/>
    </row>
    <row r="109" spans="1:22" x14ac:dyDescent="0.25">
      <c r="A109">
        <v>7</v>
      </c>
      <c r="B109" t="s">
        <v>442</v>
      </c>
      <c r="C109" t="s">
        <v>213</v>
      </c>
      <c r="D109" s="1" t="s">
        <v>215</v>
      </c>
      <c r="E109" t="s">
        <v>16</v>
      </c>
      <c r="F109" t="s">
        <v>4</v>
      </c>
      <c r="G109" s="2"/>
      <c r="H109" t="s">
        <v>20</v>
      </c>
      <c r="L109" s="1" t="s">
        <v>396</v>
      </c>
      <c r="M109" t="str">
        <f>IF(Fields[[#This Row],[Reference Entity]]&lt;&gt;"","t" &amp;Fields[[#This Row],[Reference Entity]],"")</f>
        <v>tPlanAllocationSchedule</v>
      </c>
      <c r="N109" t="str">
        <f>IF(Fields[[#This Row],[Reference Entity]]&lt;&gt;"",RIGHT(Fields[[#This Row],[Column Name]],LEN(Fields[[#This Row],[Column Name]])-2),"")</f>
        <v>AccrualSchedule</v>
      </c>
      <c r="P109" s="1"/>
      <c r="Q109" t="str">
        <f>Fields[[#This Row],[Column Name]]</f>
        <v>idAccrualSchedule</v>
      </c>
      <c r="R109"/>
      <c r="S109"/>
      <c r="U109" t="s">
        <v>413</v>
      </c>
    </row>
    <row r="110" spans="1:22" x14ac:dyDescent="0.25">
      <c r="A110">
        <v>8</v>
      </c>
      <c r="B110" t="s">
        <v>442</v>
      </c>
      <c r="C110" t="s">
        <v>204</v>
      </c>
      <c r="D110" s="1" t="s">
        <v>205</v>
      </c>
      <c r="E110" t="s">
        <v>16</v>
      </c>
      <c r="F110" t="s">
        <v>4</v>
      </c>
      <c r="G110" s="2"/>
      <c r="H110" t="s">
        <v>20</v>
      </c>
      <c r="L110" s="1" t="s">
        <v>389</v>
      </c>
      <c r="M110" t="str">
        <f>IF(Fields[[#This Row],[Reference Entity]]&lt;&gt;"","t" &amp;Fields[[#This Row],[Reference Entity]],"")</f>
        <v>tDepreciationRule</v>
      </c>
      <c r="N110" t="str">
        <f>IF(Fields[[#This Row],[Reference Entity]]&lt;&gt;"",RIGHT(Fields[[#This Row],[Column Name]],LEN(Fields[[#This Row],[Column Name]])-2),"")</f>
        <v>DepreciationRule</v>
      </c>
      <c r="P110" s="1"/>
      <c r="Q110" t="str">
        <f>Fields[[#This Row],[Column Name]]</f>
        <v>idDepreciationRule</v>
      </c>
      <c r="R110"/>
      <c r="S110"/>
    </row>
    <row r="111" spans="1:22" ht="30" x14ac:dyDescent="0.25">
      <c r="A111">
        <v>9</v>
      </c>
      <c r="B111" t="s">
        <v>442</v>
      </c>
      <c r="C111" t="s">
        <v>216</v>
      </c>
      <c r="D111" s="1" t="s">
        <v>217</v>
      </c>
      <c r="E111" t="s">
        <v>16</v>
      </c>
      <c r="F111" t="s">
        <v>4</v>
      </c>
      <c r="G111" s="2"/>
      <c r="H111" t="s">
        <v>20</v>
      </c>
      <c r="L111" s="1" t="s">
        <v>399</v>
      </c>
      <c r="M111" t="str">
        <f>IF(Fields[[#This Row],[Reference Entity]]&lt;&gt;"","t" &amp;Fields[[#This Row],[Reference Entity]],"")</f>
        <v>tPlanParameter</v>
      </c>
      <c r="N111" t="str">
        <f>IF(Fields[[#This Row],[Reference Entity]]&lt;&gt;"",RIGHT(Fields[[#This Row],[Column Name]],LEN(Fields[[#This Row],[Column Name]])-2),"")</f>
        <v>DepreciationTrigger</v>
      </c>
      <c r="P111" s="1"/>
      <c r="Q111" t="str">
        <f>Fields[[#This Row],[Column Name]]</f>
        <v>idDepreciationTrigger</v>
      </c>
      <c r="R111"/>
      <c r="S111"/>
      <c r="U111" t="s">
        <v>434</v>
      </c>
    </row>
    <row r="112" spans="1:22" x14ac:dyDescent="0.25">
      <c r="A112">
        <v>10</v>
      </c>
      <c r="B112" t="s">
        <v>442</v>
      </c>
      <c r="C112" t="s">
        <v>206</v>
      </c>
      <c r="D112" s="1" t="s">
        <v>207</v>
      </c>
      <c r="E112" t="s">
        <v>30</v>
      </c>
      <c r="F112" t="s">
        <v>4</v>
      </c>
      <c r="G112" s="2"/>
      <c r="I112">
        <v>0</v>
      </c>
      <c r="L112" s="1" t="s">
        <v>440</v>
      </c>
      <c r="M112" t="str">
        <f>IF(Fields[[#This Row],[Reference Entity]]&lt;&gt;"","t" &amp;Fields[[#This Row],[Reference Entity]],"")</f>
        <v/>
      </c>
      <c r="N112" t="str">
        <f>IF(Fields[[#This Row],[Reference Entity]]&lt;&gt;"",RIGHT(Fields[[#This Row],[Column Name]],LEN(Fields[[#This Row],[Column Name]])-2),"")</f>
        <v/>
      </c>
      <c r="P112" s="1"/>
      <c r="R112"/>
      <c r="S112"/>
    </row>
    <row r="113" spans="1:21" x14ac:dyDescent="0.25">
      <c r="A113">
        <v>11</v>
      </c>
      <c r="B113" t="s">
        <v>442</v>
      </c>
      <c r="C113" t="s">
        <v>56</v>
      </c>
      <c r="D113" s="1" t="s">
        <v>75</v>
      </c>
      <c r="E113" t="s">
        <v>16</v>
      </c>
      <c r="F113" t="s">
        <v>4</v>
      </c>
      <c r="G113" s="2"/>
      <c r="H113" t="s">
        <v>20</v>
      </c>
      <c r="L113" s="1" t="s">
        <v>390</v>
      </c>
      <c r="M113" t="str">
        <f>IF(Fields[[#This Row],[Reference Entity]]&lt;&gt;"","t" &amp;Fields[[#This Row],[Reference Entity]],"")</f>
        <v>tVATRule</v>
      </c>
      <c r="N113" t="str">
        <f>IF(Fields[[#This Row],[Reference Entity]]&lt;&gt;"",RIGHT(Fields[[#This Row],[Column Name]],LEN(Fields[[#This Row],[Column Name]])-2),"")</f>
        <v>VATRule</v>
      </c>
      <c r="P113" s="1"/>
      <c r="Q113" t="str">
        <f>Fields[[#This Row],[Column Name]]</f>
        <v>idVATRule</v>
      </c>
      <c r="R113"/>
      <c r="S113"/>
    </row>
    <row r="114" spans="1:21" ht="135" x14ac:dyDescent="0.25">
      <c r="A114">
        <v>12</v>
      </c>
      <c r="B114" t="s">
        <v>442</v>
      </c>
      <c r="C114" t="s">
        <v>526</v>
      </c>
      <c r="D114" s="1" t="s">
        <v>529</v>
      </c>
      <c r="E114" t="s">
        <v>16</v>
      </c>
      <c r="F114" t="s">
        <v>4</v>
      </c>
      <c r="G114" s="2"/>
      <c r="H114" t="s">
        <v>20</v>
      </c>
      <c r="L114" s="1" t="s">
        <v>516</v>
      </c>
      <c r="M114" t="str">
        <f>IF(Fields[[#This Row],[Reference Entity]]&lt;&gt;"","t" &amp;Fields[[#This Row],[Reference Entity]],"")</f>
        <v>tPlanInflationRule</v>
      </c>
      <c r="N114" t="str">
        <f>IF(Fields[[#This Row],[Reference Entity]]&lt;&gt;"",RIGHT(Fields[[#This Row],[Column Name]],LEN(Fields[[#This Row],[Column Name]])-2),"")</f>
        <v>InflationRule</v>
      </c>
      <c r="P114" s="1"/>
      <c r="Q114" t="str">
        <f>Fields[[#This Row],[Column Name]]</f>
        <v>idInflationRule</v>
      </c>
      <c r="R114"/>
      <c r="S114"/>
    </row>
    <row r="115" spans="1:21" ht="30" x14ac:dyDescent="0.25">
      <c r="A115">
        <v>13</v>
      </c>
      <c r="B115" t="s">
        <v>442</v>
      </c>
      <c r="C115" t="s">
        <v>147</v>
      </c>
      <c r="D115" s="1" t="s">
        <v>76</v>
      </c>
      <c r="E115" t="s">
        <v>16</v>
      </c>
      <c r="F115" t="s">
        <v>4</v>
      </c>
      <c r="G115" s="2"/>
      <c r="H115" t="s">
        <v>20</v>
      </c>
      <c r="L115" s="1" t="s">
        <v>399</v>
      </c>
      <c r="M115" t="str">
        <f>IF(Fields[[#This Row],[Reference Entity]]&lt;&gt;"","t" &amp;Fields[[#This Row],[Reference Entity]],"")</f>
        <v>tPlanParameter</v>
      </c>
      <c r="N115" t="str">
        <f>IF(Fields[[#This Row],[Reference Entity]]&lt;&gt;"",RIGHT(Fields[[#This Row],[Column Name]],LEN(Fields[[#This Row],[Column Name]])-2),"")</f>
        <v>ParPrice1</v>
      </c>
      <c r="P115" s="1"/>
      <c r="Q115" t="str">
        <f>Fields[[#This Row],[Column Name]]</f>
        <v>idParPrice1</v>
      </c>
      <c r="R115"/>
      <c r="S115"/>
      <c r="U115" t="s">
        <v>416</v>
      </c>
    </row>
    <row r="116" spans="1:21" ht="30" x14ac:dyDescent="0.25">
      <c r="A116">
        <v>14</v>
      </c>
      <c r="B116" t="s">
        <v>442</v>
      </c>
      <c r="C116" t="s">
        <v>148</v>
      </c>
      <c r="D116" s="1" t="s">
        <v>87</v>
      </c>
      <c r="E116" t="s">
        <v>16</v>
      </c>
      <c r="F116" t="s">
        <v>4</v>
      </c>
      <c r="G116" s="2"/>
      <c r="H116" t="s">
        <v>20</v>
      </c>
      <c r="L116" s="1" t="s">
        <v>399</v>
      </c>
      <c r="M116" t="str">
        <f>IF(Fields[[#This Row],[Reference Entity]]&lt;&gt;"","t" &amp;Fields[[#This Row],[Reference Entity]],"")</f>
        <v>tPlanParameter</v>
      </c>
      <c r="N116" t="str">
        <f>IF(Fields[[#This Row],[Reference Entity]]&lt;&gt;"",RIGHT(Fields[[#This Row],[Column Name]],LEN(Fields[[#This Row],[Column Name]])-2),"")</f>
        <v>ParPrice2</v>
      </c>
      <c r="P116" s="1"/>
      <c r="Q116" t="str">
        <f>Fields[[#This Row],[Column Name]]</f>
        <v>idParPrice2</v>
      </c>
      <c r="R116"/>
      <c r="S116"/>
      <c r="U116" t="s">
        <v>417</v>
      </c>
    </row>
    <row r="117" spans="1:21" ht="30" x14ac:dyDescent="0.25">
      <c r="A117">
        <v>15</v>
      </c>
      <c r="B117" t="s">
        <v>442</v>
      </c>
      <c r="C117" t="s">
        <v>343</v>
      </c>
      <c r="D117" s="1" t="s">
        <v>77</v>
      </c>
      <c r="E117" t="s">
        <v>16</v>
      </c>
      <c r="F117" t="s">
        <v>4</v>
      </c>
      <c r="G117" s="2"/>
      <c r="L117" s="1" t="s">
        <v>384</v>
      </c>
      <c r="M117" t="str">
        <f>IF(Fields[[#This Row],[Reference Entity]]&lt;&gt;"","t" &amp;Fields[[#This Row],[Reference Entity]],"")</f>
        <v>tCurrency</v>
      </c>
      <c r="N117" t="str">
        <f>IF(Fields[[#This Row],[Reference Entity]]&lt;&gt;"",RIGHT(Fields[[#This Row],[Column Name]],LEN(Fields[[#This Row],[Column Name]])-2),"")</f>
        <v>CurrencyContract</v>
      </c>
      <c r="P117" s="1"/>
      <c r="Q117" t="str">
        <f>Fields[[#This Row],[Column Name]]</f>
        <v>idCurrencyContract</v>
      </c>
      <c r="R117"/>
      <c r="S117"/>
    </row>
    <row r="118" spans="1:21" x14ac:dyDescent="0.25">
      <c r="A118">
        <v>16</v>
      </c>
      <c r="B118" t="s">
        <v>442</v>
      </c>
      <c r="C118" t="s">
        <v>146</v>
      </c>
      <c r="D118" s="1" t="s">
        <v>78</v>
      </c>
      <c r="E118" t="s">
        <v>16</v>
      </c>
      <c r="F118" t="s">
        <v>4</v>
      </c>
      <c r="G118" s="2"/>
      <c r="H118" t="s">
        <v>20</v>
      </c>
      <c r="L118" s="1" t="s">
        <v>399</v>
      </c>
      <c r="M118" t="str">
        <f>IF(Fields[[#This Row],[Reference Entity]]&lt;&gt;"","t" &amp;Fields[[#This Row],[Reference Entity]],"")</f>
        <v>tPlanParameter</v>
      </c>
      <c r="N118" t="str">
        <f>IF(Fields[[#This Row],[Reference Entity]]&lt;&gt;"",RIGHT(Fields[[#This Row],[Column Name]],LEN(Fields[[#This Row],[Column Name]])-2),"")</f>
        <v>ParTriggerDate</v>
      </c>
      <c r="P118" s="1"/>
      <c r="Q118" t="str">
        <f>Fields[[#This Row],[Column Name]]</f>
        <v>idParTriggerDate</v>
      </c>
      <c r="R118"/>
      <c r="S118"/>
      <c r="U118" t="s">
        <v>435</v>
      </c>
    </row>
    <row r="119" spans="1:21" ht="30" x14ac:dyDescent="0.25">
      <c r="A119">
        <v>17</v>
      </c>
      <c r="B119" t="s">
        <v>442</v>
      </c>
      <c r="C119" t="s">
        <v>336</v>
      </c>
      <c r="D119" s="1" t="s">
        <v>47</v>
      </c>
      <c r="E119" t="s">
        <v>18</v>
      </c>
      <c r="F119" t="s">
        <v>6</v>
      </c>
      <c r="G119" s="2"/>
      <c r="I119">
        <v>0</v>
      </c>
      <c r="L119" s="1" t="s">
        <v>440</v>
      </c>
      <c r="M119" t="str">
        <f>IF(Fields[[#This Row],[Reference Entity]]&lt;&gt;"","t" &amp;Fields[[#This Row],[Reference Entity]],"")</f>
        <v/>
      </c>
      <c r="N119" t="str">
        <f>IF(Fields[[#This Row],[Reference Entity]]&lt;&gt;"",RIGHT(Fields[[#This Row],[Column Name]],LEN(Fields[[#This Row],[Column Name]])-2),"")</f>
        <v/>
      </c>
      <c r="P119" s="1" t="s">
        <v>49</v>
      </c>
      <c r="R119"/>
      <c r="S119"/>
    </row>
    <row r="120" spans="1:21" ht="30" x14ac:dyDescent="0.25">
      <c r="A120">
        <v>18</v>
      </c>
      <c r="B120" t="s">
        <v>442</v>
      </c>
      <c r="C120" t="s">
        <v>72</v>
      </c>
      <c r="D120" s="1" t="s">
        <v>79</v>
      </c>
      <c r="E120" t="s">
        <v>18</v>
      </c>
      <c r="F120" t="s">
        <v>6</v>
      </c>
      <c r="G120" s="2"/>
      <c r="I120">
        <v>0</v>
      </c>
      <c r="L120" s="1" t="s">
        <v>440</v>
      </c>
      <c r="M120" t="str">
        <f>IF(Fields[[#This Row],[Reference Entity]]&lt;&gt;"","t" &amp;Fields[[#This Row],[Reference Entity]],"")</f>
        <v/>
      </c>
      <c r="N120" t="str">
        <f>IF(Fields[[#This Row],[Reference Entity]]&lt;&gt;"",RIGHT(Fields[[#This Row],[Column Name]],LEN(Fields[[#This Row],[Column Name]])-2),"")</f>
        <v/>
      </c>
      <c r="P120" s="1"/>
      <c r="R120"/>
      <c r="S120"/>
    </row>
    <row r="121" spans="1:21" ht="45" x14ac:dyDescent="0.25">
      <c r="A121">
        <v>19</v>
      </c>
      <c r="B121" t="s">
        <v>442</v>
      </c>
      <c r="C121" t="s">
        <v>83</v>
      </c>
      <c r="D121" s="1" t="s">
        <v>80</v>
      </c>
      <c r="E121" t="s">
        <v>30</v>
      </c>
      <c r="F121" t="s">
        <v>4</v>
      </c>
      <c r="G121" s="2"/>
      <c r="I121">
        <v>0</v>
      </c>
      <c r="L121" s="1" t="s">
        <v>440</v>
      </c>
      <c r="M121" t="str">
        <f>IF(Fields[[#This Row],[Reference Entity]]&lt;&gt;"","t" &amp;Fields[[#This Row],[Reference Entity]],"")</f>
        <v/>
      </c>
      <c r="N121" t="str">
        <f>IF(Fields[[#This Row],[Reference Entity]]&lt;&gt;"",RIGHT(Fields[[#This Row],[Column Name]],LEN(Fields[[#This Row],[Column Name]])-2),"")</f>
        <v/>
      </c>
      <c r="P121" s="1"/>
      <c r="R121"/>
      <c r="S121"/>
    </row>
    <row r="122" spans="1:21" x14ac:dyDescent="0.25">
      <c r="A122">
        <v>20</v>
      </c>
      <c r="B122" t="s">
        <v>442</v>
      </c>
      <c r="C122" t="s">
        <v>84</v>
      </c>
      <c r="D122" s="1" t="s">
        <v>86</v>
      </c>
      <c r="E122" t="s">
        <v>30</v>
      </c>
      <c r="F122" t="s">
        <v>4</v>
      </c>
      <c r="G122" s="2"/>
      <c r="I122">
        <v>0</v>
      </c>
      <c r="L122" s="1" t="s">
        <v>440</v>
      </c>
      <c r="M122" t="str">
        <f>IF(Fields[[#This Row],[Reference Entity]]&lt;&gt;"","t" &amp;Fields[[#This Row],[Reference Entity]],"")</f>
        <v/>
      </c>
      <c r="N122" t="str">
        <f>IF(Fields[[#This Row],[Reference Entity]]&lt;&gt;"",RIGHT(Fields[[#This Row],[Column Name]],LEN(Fields[[#This Row],[Column Name]])-2),"")</f>
        <v/>
      </c>
      <c r="P122" s="1"/>
      <c r="R122"/>
      <c r="S122"/>
    </row>
    <row r="123" spans="1:21" x14ac:dyDescent="0.25">
      <c r="A123">
        <v>21</v>
      </c>
      <c r="B123" t="s">
        <v>442</v>
      </c>
      <c r="C123" t="s">
        <v>85</v>
      </c>
      <c r="D123" s="1" t="s">
        <v>86</v>
      </c>
      <c r="E123" t="s">
        <v>30</v>
      </c>
      <c r="F123" t="s">
        <v>4</v>
      </c>
      <c r="G123" s="2"/>
      <c r="I123">
        <v>0</v>
      </c>
      <c r="L123" s="1" t="s">
        <v>440</v>
      </c>
      <c r="M123" t="str">
        <f>IF(Fields[[#This Row],[Reference Entity]]&lt;&gt;"","t" &amp;Fields[[#This Row],[Reference Entity]],"")</f>
        <v/>
      </c>
      <c r="N123" t="str">
        <f>IF(Fields[[#This Row],[Reference Entity]]&lt;&gt;"",RIGHT(Fields[[#This Row],[Column Name]],LEN(Fields[[#This Row],[Column Name]])-2),"")</f>
        <v/>
      </c>
      <c r="P123" s="1"/>
      <c r="R123"/>
      <c r="S123"/>
    </row>
    <row r="124" spans="1:21" ht="30" x14ac:dyDescent="0.25">
      <c r="A124">
        <v>22</v>
      </c>
      <c r="B124" t="s">
        <v>442</v>
      </c>
      <c r="C124" t="s">
        <v>373</v>
      </c>
      <c r="D124" s="1" t="s">
        <v>509</v>
      </c>
      <c r="E124" t="s">
        <v>30</v>
      </c>
      <c r="F124" t="s">
        <v>4</v>
      </c>
      <c r="G124" s="2"/>
      <c r="I124">
        <v>0</v>
      </c>
      <c r="L124" s="1" t="s">
        <v>440</v>
      </c>
      <c r="M124" t="str">
        <f>IF(Fields[[#This Row],[Reference Entity]]&lt;&gt;"","t" &amp;Fields[[#This Row],[Reference Entity]],"")</f>
        <v/>
      </c>
      <c r="N124" t="str">
        <f>IF(Fields[[#This Row],[Reference Entity]]&lt;&gt;"",RIGHT(Fields[[#This Row],[Column Name]],LEN(Fields[[#This Row],[Column Name]])-2),"")</f>
        <v/>
      </c>
      <c r="P124" s="1"/>
      <c r="R124"/>
      <c r="S124"/>
    </row>
    <row r="125" spans="1:21" x14ac:dyDescent="0.25">
      <c r="A125">
        <v>23</v>
      </c>
      <c r="B125" t="s">
        <v>442</v>
      </c>
      <c r="C125" t="s">
        <v>372</v>
      </c>
      <c r="D125" s="1" t="s">
        <v>81</v>
      </c>
      <c r="E125" t="s">
        <v>30</v>
      </c>
      <c r="F125" t="s">
        <v>4</v>
      </c>
      <c r="G125" s="2"/>
      <c r="I125">
        <v>0</v>
      </c>
      <c r="L125" s="1" t="s">
        <v>440</v>
      </c>
      <c r="M125" t="str">
        <f>IF(Fields[[#This Row],[Reference Entity]]&lt;&gt;"","t" &amp;Fields[[#This Row],[Reference Entity]],"")</f>
        <v/>
      </c>
      <c r="N125" t="str">
        <f>IF(Fields[[#This Row],[Reference Entity]]&lt;&gt;"",RIGHT(Fields[[#This Row],[Column Name]],LEN(Fields[[#This Row],[Column Name]])-2),"")</f>
        <v/>
      </c>
      <c r="P125" s="1"/>
      <c r="R125"/>
      <c r="S125"/>
    </row>
    <row r="126" spans="1:21" x14ac:dyDescent="0.25">
      <c r="A126">
        <v>24</v>
      </c>
      <c r="B126" t="s">
        <v>442</v>
      </c>
      <c r="C126" t="s">
        <v>371</v>
      </c>
      <c r="D126" s="1" t="s">
        <v>81</v>
      </c>
      <c r="E126" t="s">
        <v>30</v>
      </c>
      <c r="F126" t="s">
        <v>4</v>
      </c>
      <c r="G126" s="2"/>
      <c r="H126" t="s">
        <v>20</v>
      </c>
      <c r="I126">
        <v>0</v>
      </c>
      <c r="L126" s="1" t="s">
        <v>440</v>
      </c>
      <c r="M126" t="str">
        <f>IF(Fields[[#This Row],[Reference Entity]]&lt;&gt;"","t" &amp;Fields[[#This Row],[Reference Entity]],"")</f>
        <v/>
      </c>
      <c r="N126" t="str">
        <f>IF(Fields[[#This Row],[Reference Entity]]&lt;&gt;"",RIGHT(Fields[[#This Row],[Column Name]],LEN(Fields[[#This Row],[Column Name]])-2),"")</f>
        <v/>
      </c>
      <c r="P126" s="1"/>
      <c r="R126"/>
      <c r="S126"/>
    </row>
    <row r="127" spans="1:21" ht="30" x14ac:dyDescent="0.25">
      <c r="A127">
        <v>25</v>
      </c>
      <c r="B127" t="s">
        <v>442</v>
      </c>
      <c r="C127" t="s">
        <v>55</v>
      </c>
      <c r="D127" s="1" t="s">
        <v>82</v>
      </c>
      <c r="E127" t="s">
        <v>30</v>
      </c>
      <c r="F127" t="s">
        <v>4</v>
      </c>
      <c r="G127" s="2"/>
      <c r="L127" s="1" t="s">
        <v>440</v>
      </c>
      <c r="M127" t="str">
        <f>IF(Fields[[#This Row],[Reference Entity]]&lt;&gt;"","t" &amp;Fields[[#This Row],[Reference Entity]],"")</f>
        <v/>
      </c>
      <c r="N127" t="str">
        <f>IF(Fields[[#This Row],[Reference Entity]]&lt;&gt;"",RIGHT(Fields[[#This Row],[Column Name]],LEN(Fields[[#This Row],[Column Name]])-2),"")</f>
        <v/>
      </c>
      <c r="P127" s="1"/>
      <c r="R127"/>
      <c r="S127"/>
    </row>
    <row r="128" spans="1:21" x14ac:dyDescent="0.25">
      <c r="A128">
        <v>26</v>
      </c>
      <c r="B128" t="s">
        <v>442</v>
      </c>
      <c r="C128" t="s">
        <v>57</v>
      </c>
      <c r="D128" s="1" t="s">
        <v>88</v>
      </c>
      <c r="E128" t="s">
        <v>30</v>
      </c>
      <c r="F128" t="s">
        <v>4</v>
      </c>
      <c r="G128" s="2"/>
      <c r="I128">
        <v>1</v>
      </c>
      <c r="L128" s="1" t="s">
        <v>440</v>
      </c>
      <c r="M128" t="str">
        <f>IF(Fields[[#This Row],[Reference Entity]]&lt;&gt;"","t" &amp;Fields[[#This Row],[Reference Entity]],"")</f>
        <v/>
      </c>
      <c r="N128" t="str">
        <f>IF(Fields[[#This Row],[Reference Entity]]&lt;&gt;"",RIGHT(Fields[[#This Row],[Column Name]],LEN(Fields[[#This Row],[Column Name]])-2),"")</f>
        <v/>
      </c>
      <c r="P128" s="1"/>
      <c r="R128"/>
      <c r="S128"/>
    </row>
    <row r="129" spans="1:19" ht="30" x14ac:dyDescent="0.25">
      <c r="A129">
        <v>27</v>
      </c>
      <c r="B129" t="s">
        <v>442</v>
      </c>
      <c r="C129" t="s">
        <v>68</v>
      </c>
      <c r="D129" s="1" t="s">
        <v>89</v>
      </c>
      <c r="E129" t="s">
        <v>60</v>
      </c>
      <c r="F129" t="s">
        <v>272</v>
      </c>
      <c r="G129" s="2"/>
      <c r="L129" s="1" t="s">
        <v>440</v>
      </c>
      <c r="M129" t="str">
        <f>IF(Fields[[#This Row],[Reference Entity]]&lt;&gt;"","t" &amp;Fields[[#This Row],[Reference Entity]],"")</f>
        <v/>
      </c>
      <c r="N129" t="str">
        <f>IF(Fields[[#This Row],[Reference Entity]]&lt;&gt;"",RIGHT(Fields[[#This Row],[Column Name]],LEN(Fields[[#This Row],[Column Name]])-2),"")</f>
        <v/>
      </c>
      <c r="P129" s="1"/>
      <c r="R129"/>
      <c r="S129"/>
    </row>
    <row r="130" spans="1:19" x14ac:dyDescent="0.25">
      <c r="A130">
        <v>28</v>
      </c>
      <c r="B130" t="s">
        <v>442</v>
      </c>
      <c r="C130" t="s">
        <v>58</v>
      </c>
      <c r="D130" s="1" t="s">
        <v>90</v>
      </c>
      <c r="E130" t="s">
        <v>17</v>
      </c>
      <c r="F130" t="s">
        <v>449</v>
      </c>
      <c r="G130" s="2"/>
      <c r="H130" t="s">
        <v>20</v>
      </c>
      <c r="L130" s="1" t="s">
        <v>440</v>
      </c>
      <c r="M130" t="str">
        <f>IF(Fields[[#This Row],[Reference Entity]]&lt;&gt;"","t" &amp;Fields[[#This Row],[Reference Entity]],"")</f>
        <v/>
      </c>
      <c r="N130" t="str">
        <f>IF(Fields[[#This Row],[Reference Entity]]&lt;&gt;"",RIGHT(Fields[[#This Row],[Column Name]],LEN(Fields[[#This Row],[Column Name]])-2),"")</f>
        <v/>
      </c>
      <c r="P130" s="1"/>
      <c r="R130"/>
      <c r="S130"/>
    </row>
    <row r="131" spans="1:19" ht="30" x14ac:dyDescent="0.25">
      <c r="A131">
        <v>29</v>
      </c>
      <c r="B131" t="s">
        <v>442</v>
      </c>
      <c r="C131" t="s">
        <v>70</v>
      </c>
      <c r="D131" s="1" t="s">
        <v>505</v>
      </c>
      <c r="E131" t="s">
        <v>60</v>
      </c>
      <c r="F131" t="s">
        <v>272</v>
      </c>
      <c r="G131" s="2"/>
      <c r="L131" s="1" t="s">
        <v>440</v>
      </c>
      <c r="M131" t="str">
        <f>IF(Fields[[#This Row],[Reference Entity]]&lt;&gt;"","t" &amp;Fields[[#This Row],[Reference Entity]],"")</f>
        <v/>
      </c>
      <c r="N131" t="str">
        <f>IF(Fields[[#This Row],[Reference Entity]]&lt;&gt;"",RIGHT(Fields[[#This Row],[Column Name]],LEN(Fields[[#This Row],[Column Name]])-2),"")</f>
        <v/>
      </c>
      <c r="P131" s="1"/>
      <c r="R131"/>
      <c r="S131"/>
    </row>
    <row r="132" spans="1:19" ht="30" x14ac:dyDescent="0.25">
      <c r="A132">
        <v>30</v>
      </c>
      <c r="B132" t="s">
        <v>442</v>
      </c>
      <c r="C132" t="s">
        <v>71</v>
      </c>
      <c r="D132" s="1" t="s">
        <v>91</v>
      </c>
      <c r="E132" t="s">
        <v>60</v>
      </c>
      <c r="F132" t="s">
        <v>272</v>
      </c>
      <c r="G132" s="2"/>
      <c r="L132" s="1" t="s">
        <v>440</v>
      </c>
      <c r="M132" t="str">
        <f>IF(Fields[[#This Row],[Reference Entity]]&lt;&gt;"","t" &amp;Fields[[#This Row],[Reference Entity]],"")</f>
        <v/>
      </c>
      <c r="N132" t="str">
        <f>IF(Fields[[#This Row],[Reference Entity]]&lt;&gt;"",RIGHT(Fields[[#This Row],[Column Name]],LEN(Fields[[#This Row],[Column Name]])-2),"")</f>
        <v/>
      </c>
      <c r="P132" s="1"/>
      <c r="R132"/>
      <c r="S132"/>
    </row>
    <row r="133" spans="1:19" x14ac:dyDescent="0.25">
      <c r="A133">
        <v>31</v>
      </c>
      <c r="B133" t="s">
        <v>442</v>
      </c>
      <c r="C133" t="s">
        <v>69</v>
      </c>
      <c r="D133" s="1" t="s">
        <v>92</v>
      </c>
      <c r="E133" t="s">
        <v>60</v>
      </c>
      <c r="F133" t="s">
        <v>272</v>
      </c>
      <c r="G133" s="2"/>
      <c r="L133" s="1" t="s">
        <v>440</v>
      </c>
      <c r="M133" t="str">
        <f>IF(Fields[[#This Row],[Reference Entity]]&lt;&gt;"","t" &amp;Fields[[#This Row],[Reference Entity]],"")</f>
        <v/>
      </c>
      <c r="N133" t="str">
        <f>IF(Fields[[#This Row],[Reference Entity]]&lt;&gt;"",RIGHT(Fields[[#This Row],[Column Name]],LEN(Fields[[#This Row],[Column Name]])-2),"")</f>
        <v/>
      </c>
      <c r="P133" s="1"/>
      <c r="R133"/>
      <c r="S133"/>
    </row>
    <row r="134" spans="1:19" ht="30" x14ac:dyDescent="0.25">
      <c r="A134">
        <v>32</v>
      </c>
      <c r="B134" t="s">
        <v>442</v>
      </c>
      <c r="C134" t="s">
        <v>61</v>
      </c>
      <c r="D134" s="1" t="s">
        <v>93</v>
      </c>
      <c r="E134" t="s">
        <v>45</v>
      </c>
      <c r="F134" t="s">
        <v>277</v>
      </c>
      <c r="G134" s="2" t="s">
        <v>276</v>
      </c>
      <c r="H134" t="s">
        <v>20</v>
      </c>
      <c r="L134" s="1" t="s">
        <v>440</v>
      </c>
      <c r="M134" t="str">
        <f>IF(Fields[[#This Row],[Reference Entity]]&lt;&gt;"","t" &amp;Fields[[#This Row],[Reference Entity]],"")</f>
        <v/>
      </c>
      <c r="N134" t="str">
        <f>IF(Fields[[#This Row],[Reference Entity]]&lt;&gt;"",RIGHT(Fields[[#This Row],[Column Name]],LEN(Fields[[#This Row],[Column Name]])-2),"")</f>
        <v/>
      </c>
      <c r="P134" s="1"/>
      <c r="R134"/>
      <c r="S134"/>
    </row>
    <row r="135" spans="1:19" x14ac:dyDescent="0.25">
      <c r="A135">
        <v>33</v>
      </c>
      <c r="B135" t="s">
        <v>442</v>
      </c>
      <c r="C135" t="s">
        <v>62</v>
      </c>
      <c r="D135" s="1" t="s">
        <v>94</v>
      </c>
      <c r="E135" t="s">
        <v>45</v>
      </c>
      <c r="F135" t="s">
        <v>277</v>
      </c>
      <c r="G135" s="2" t="s">
        <v>276</v>
      </c>
      <c r="H135" t="s">
        <v>20</v>
      </c>
      <c r="L135" s="1" t="s">
        <v>440</v>
      </c>
      <c r="M135" t="str">
        <f>IF(Fields[[#This Row],[Reference Entity]]&lt;&gt;"","t" &amp;Fields[[#This Row],[Reference Entity]],"")</f>
        <v/>
      </c>
      <c r="N135" t="str">
        <f>IF(Fields[[#This Row],[Reference Entity]]&lt;&gt;"",RIGHT(Fields[[#This Row],[Column Name]],LEN(Fields[[#This Row],[Column Name]])-2),"")</f>
        <v/>
      </c>
      <c r="P135" s="1"/>
      <c r="R135"/>
      <c r="S135"/>
    </row>
    <row r="136" spans="1:19" ht="45" x14ac:dyDescent="0.25">
      <c r="A136">
        <v>1</v>
      </c>
      <c r="B136" t="s">
        <v>66</v>
      </c>
      <c r="C136" t="s">
        <v>53</v>
      </c>
      <c r="D136" s="1" t="s">
        <v>73</v>
      </c>
      <c r="E136" t="s">
        <v>16</v>
      </c>
      <c r="F136" t="s">
        <v>4</v>
      </c>
      <c r="G136" s="2"/>
      <c r="L136" s="1" t="s">
        <v>393</v>
      </c>
      <c r="M136" t="str">
        <f>IF(Fields[[#This Row],[Reference Entity]]&lt;&gt;"","t" &amp;Fields[[#This Row],[Reference Entity]],"")</f>
        <v>tPlan</v>
      </c>
      <c r="N136" t="str">
        <f>IF(Fields[[#This Row],[Reference Entity]]&lt;&gt;"",RIGHT(Fields[[#This Row],[Column Name]],LEN(Fields[[#This Row],[Column Name]])-2),"")</f>
        <v>Plan</v>
      </c>
      <c r="O136" t="s">
        <v>154</v>
      </c>
      <c r="P136" s="1"/>
      <c r="Q136" t="s">
        <v>319</v>
      </c>
      <c r="R136" t="s">
        <v>20</v>
      </c>
      <c r="S136"/>
    </row>
    <row r="137" spans="1:19" x14ac:dyDescent="0.25">
      <c r="A137">
        <v>2</v>
      </c>
      <c r="B137" t="s">
        <v>66</v>
      </c>
      <c r="C137" t="s">
        <v>368</v>
      </c>
      <c r="D137" s="1" t="s">
        <v>518</v>
      </c>
      <c r="E137" t="s">
        <v>134</v>
      </c>
      <c r="F137" t="s">
        <v>271</v>
      </c>
      <c r="G137" s="2"/>
      <c r="I137">
        <v>0</v>
      </c>
      <c r="K137" t="s">
        <v>368</v>
      </c>
      <c r="L137" s="1" t="s">
        <v>440</v>
      </c>
      <c r="M137" t="str">
        <f>IF(Fields[[#This Row],[Reference Entity]]&lt;&gt;"","t" &amp;Fields[[#This Row],[Reference Entity]],"")</f>
        <v/>
      </c>
      <c r="N137" t="str">
        <f>IF(Fields[[#This Row],[Reference Entity]]&lt;&gt;"",RIGHT(Fields[[#This Row],[Column Name]],LEN(Fields[[#This Row],[Column Name]])-2),"")</f>
        <v/>
      </c>
      <c r="P137" s="1"/>
      <c r="Q137" t="s">
        <v>319</v>
      </c>
      <c r="R137" t="s">
        <v>20</v>
      </c>
      <c r="S137"/>
    </row>
    <row r="138" spans="1:19" x14ac:dyDescent="0.25">
      <c r="A138">
        <v>3</v>
      </c>
      <c r="B138" t="s">
        <v>66</v>
      </c>
      <c r="C138" t="s">
        <v>358</v>
      </c>
      <c r="D138" s="1" t="s">
        <v>116</v>
      </c>
      <c r="E138" t="s">
        <v>19</v>
      </c>
      <c r="F138" t="s">
        <v>277</v>
      </c>
      <c r="G138" s="2">
        <v>30</v>
      </c>
      <c r="L138" s="1" t="s">
        <v>440</v>
      </c>
      <c r="M138" t="str">
        <f>IF(Fields[[#This Row],[Reference Entity]]&lt;&gt;"","t" &amp;Fields[[#This Row],[Reference Entity]],"")</f>
        <v/>
      </c>
      <c r="N138" t="str">
        <f>IF(Fields[[#This Row],[Reference Entity]]&lt;&gt;"",RIGHT(Fields[[#This Row],[Column Name]],LEN(Fields[[#This Row],[Column Name]])-2),"")</f>
        <v/>
      </c>
      <c r="P138" s="1"/>
      <c r="Q138" t="s">
        <v>319</v>
      </c>
      <c r="R138" t="s">
        <v>20</v>
      </c>
      <c r="S138"/>
    </row>
    <row r="139" spans="1:19" x14ac:dyDescent="0.25">
      <c r="A139">
        <v>4</v>
      </c>
      <c r="B139" t="s">
        <v>66</v>
      </c>
      <c r="C139" t="s">
        <v>135</v>
      </c>
      <c r="D139" s="1" t="s">
        <v>138</v>
      </c>
      <c r="E139" t="s">
        <v>60</v>
      </c>
      <c r="F139" t="s">
        <v>272</v>
      </c>
      <c r="G139" s="2"/>
      <c r="I139">
        <v>0</v>
      </c>
      <c r="L139" s="1" t="s">
        <v>440</v>
      </c>
      <c r="M139" t="str">
        <f>IF(Fields[[#This Row],[Reference Entity]]&lt;&gt;"","t" &amp;Fields[[#This Row],[Reference Entity]],"")</f>
        <v/>
      </c>
      <c r="N139" t="str">
        <f>IF(Fields[[#This Row],[Reference Entity]]&lt;&gt;"",RIGHT(Fields[[#This Row],[Column Name]],LEN(Fields[[#This Row],[Column Name]])-2),"")</f>
        <v/>
      </c>
      <c r="P139" s="1"/>
      <c r="R139"/>
      <c r="S139"/>
    </row>
    <row r="140" spans="1:19" x14ac:dyDescent="0.25">
      <c r="A140">
        <v>5</v>
      </c>
      <c r="B140" t="s">
        <v>66</v>
      </c>
      <c r="C140" t="s">
        <v>136</v>
      </c>
      <c r="D140" s="1" t="s">
        <v>139</v>
      </c>
      <c r="E140" t="s">
        <v>17</v>
      </c>
      <c r="F140" t="s">
        <v>449</v>
      </c>
      <c r="G140" s="2"/>
      <c r="H140" t="s">
        <v>20</v>
      </c>
      <c r="L140" s="1" t="s">
        <v>440</v>
      </c>
      <c r="M140" t="str">
        <f>IF(Fields[[#This Row],[Reference Entity]]&lt;&gt;"","t" &amp;Fields[[#This Row],[Reference Entity]],"")</f>
        <v/>
      </c>
      <c r="N140" t="str">
        <f>IF(Fields[[#This Row],[Reference Entity]]&lt;&gt;"",RIGHT(Fields[[#This Row],[Column Name]],LEN(Fields[[#This Row],[Column Name]])-2),"")</f>
        <v/>
      </c>
      <c r="P140" s="1"/>
      <c r="R140"/>
      <c r="S140"/>
    </row>
    <row r="141" spans="1:19" x14ac:dyDescent="0.25">
      <c r="A141">
        <v>6</v>
      </c>
      <c r="B141" t="s">
        <v>66</v>
      </c>
      <c r="C141" t="s">
        <v>137</v>
      </c>
      <c r="D141" s="1" t="s">
        <v>140</v>
      </c>
      <c r="E141" t="s">
        <v>19</v>
      </c>
      <c r="F141" t="s">
        <v>277</v>
      </c>
      <c r="G141" s="2">
        <v>30</v>
      </c>
      <c r="H141" t="s">
        <v>20</v>
      </c>
      <c r="L141" s="1" t="s">
        <v>440</v>
      </c>
      <c r="M141" t="str">
        <f>IF(Fields[[#This Row],[Reference Entity]]&lt;&gt;"","t" &amp;Fields[[#This Row],[Reference Entity]],"")</f>
        <v/>
      </c>
      <c r="N141" t="str">
        <f>IF(Fields[[#This Row],[Reference Entity]]&lt;&gt;"",RIGHT(Fields[[#This Row],[Column Name]],LEN(Fields[[#This Row],[Column Name]])-2),"")</f>
        <v/>
      </c>
      <c r="P141" s="1"/>
      <c r="R141"/>
      <c r="S141"/>
    </row>
    <row r="142" spans="1:19" x14ac:dyDescent="0.25">
      <c r="A142">
        <v>7</v>
      </c>
      <c r="B142" t="s">
        <v>66</v>
      </c>
      <c r="C142" t="s">
        <v>370</v>
      </c>
      <c r="D142" s="1" t="s">
        <v>141</v>
      </c>
      <c r="E142" t="s">
        <v>19</v>
      </c>
      <c r="F142" t="s">
        <v>277</v>
      </c>
      <c r="G142" s="2">
        <v>15</v>
      </c>
      <c r="H142" t="s">
        <v>20</v>
      </c>
      <c r="L142" s="1" t="s">
        <v>440</v>
      </c>
      <c r="M142" t="str">
        <f>IF(Fields[[#This Row],[Reference Entity]]&lt;&gt;"","t" &amp;Fields[[#This Row],[Reference Entity]],"")</f>
        <v/>
      </c>
      <c r="N142" t="str">
        <f>IF(Fields[[#This Row],[Reference Entity]]&lt;&gt;"",RIGHT(Fields[[#This Row],[Column Name]],LEN(Fields[[#This Row],[Column Name]])-2),"")</f>
        <v/>
      </c>
      <c r="P142" s="1"/>
      <c r="R142"/>
      <c r="S142"/>
    </row>
    <row r="143" spans="1:19" x14ac:dyDescent="0.25">
      <c r="A143">
        <v>8</v>
      </c>
      <c r="B143" t="s">
        <v>66</v>
      </c>
      <c r="C143" t="s">
        <v>330</v>
      </c>
      <c r="D143" s="1" t="s">
        <v>117</v>
      </c>
      <c r="E143" t="s">
        <v>45</v>
      </c>
      <c r="F143" t="s">
        <v>277</v>
      </c>
      <c r="G143" s="2" t="s">
        <v>276</v>
      </c>
      <c r="H143" t="s">
        <v>20</v>
      </c>
      <c r="L143" s="1" t="s">
        <v>440</v>
      </c>
      <c r="M143" t="str">
        <f>IF(Fields[[#This Row],[Reference Entity]]&lt;&gt;"","t" &amp;Fields[[#This Row],[Reference Entity]],"")</f>
        <v/>
      </c>
      <c r="N143" t="str">
        <f>IF(Fields[[#This Row],[Reference Entity]]&lt;&gt;"",RIGHT(Fields[[#This Row],[Column Name]],LEN(Fields[[#This Row],[Column Name]])-2),"")</f>
        <v/>
      </c>
      <c r="P143" s="1"/>
      <c r="R143"/>
      <c r="S143"/>
    </row>
    <row r="144" spans="1:19" ht="30" x14ac:dyDescent="0.25">
      <c r="A144">
        <v>1</v>
      </c>
      <c r="B144" t="s">
        <v>176</v>
      </c>
      <c r="C144" t="s">
        <v>53</v>
      </c>
      <c r="D144" s="1" t="s">
        <v>262</v>
      </c>
      <c r="E144" t="s">
        <v>16</v>
      </c>
      <c r="F144" t="s">
        <v>4</v>
      </c>
      <c r="G144" s="2"/>
      <c r="J144" s="1"/>
      <c r="L144" s="1" t="s">
        <v>393</v>
      </c>
      <c r="M144" t="str">
        <f>IF(Fields[[#This Row],[Reference Entity]]&lt;&gt;"","t" &amp;Fields[[#This Row],[Reference Entity]],"")</f>
        <v>tPlan</v>
      </c>
      <c r="N144" t="str">
        <f>IF(Fields[[#This Row],[Reference Entity]]&lt;&gt;"",RIGHT(Fields[[#This Row],[Column Name]],LEN(Fields[[#This Row],[Column Name]])-2),"")</f>
        <v>Plan</v>
      </c>
      <c r="O144" t="s">
        <v>154</v>
      </c>
      <c r="P144" s="1"/>
      <c r="Q144" t="str">
        <f>Fields[[#This Row],[Column Name]]</f>
        <v>idPlan</v>
      </c>
      <c r="S144"/>
    </row>
    <row r="145" spans="1:22" x14ac:dyDescent="0.25">
      <c r="A145">
        <v>2</v>
      </c>
      <c r="B145" t="s">
        <v>176</v>
      </c>
      <c r="C145" t="s">
        <v>260</v>
      </c>
      <c r="D145" s="1" t="s">
        <v>261</v>
      </c>
      <c r="E145" t="s">
        <v>16</v>
      </c>
      <c r="F145" t="s">
        <v>4</v>
      </c>
      <c r="G145" s="2"/>
      <c r="J145" s="1"/>
      <c r="L145" s="1" t="s">
        <v>402</v>
      </c>
      <c r="M145" t="str">
        <f>IF(Fields[[#This Row],[Reference Entity]]&lt;&gt;"","t" &amp;Fields[[#This Row],[Reference Entity]],"")</f>
        <v>tBookTransaction</v>
      </c>
      <c r="N145" t="str">
        <f>IF(Fields[[#This Row],[Reference Entity]]&lt;&gt;"",RIGHT(Fields[[#This Row],[Column Name]],LEN(Fields[[#This Row],[Column Name]])-2),"")</f>
        <v>BookTransaction</v>
      </c>
      <c r="P145" s="1"/>
      <c r="Q145" t="str">
        <f>Fields[[#This Row],[Column Name]]</f>
        <v>idBookTransaction</v>
      </c>
      <c r="S145"/>
    </row>
    <row r="146" spans="1:22" x14ac:dyDescent="0.25">
      <c r="A146">
        <v>1</v>
      </c>
      <c r="B146" t="s">
        <v>490</v>
      </c>
      <c r="C146" t="s">
        <v>5</v>
      </c>
      <c r="D146" s="1" t="s">
        <v>307</v>
      </c>
      <c r="E146" t="s">
        <v>16</v>
      </c>
      <c r="F146" t="s">
        <v>4</v>
      </c>
      <c r="G146" s="2"/>
      <c r="J146" s="1"/>
      <c r="L146" s="1" t="s">
        <v>159</v>
      </c>
      <c r="M146" t="str">
        <f>IF(Fields[[#This Row],[Reference Entity]]&lt;&gt;"","t" &amp;Fields[[#This Row],[Reference Entity]],"")</f>
        <v>tClient</v>
      </c>
      <c r="N146" t="str">
        <f>IF(Fields[[#This Row],[Reference Entity]]&lt;&gt;"",RIGHT(Fields[[#This Row],[Column Name]],LEN(Fields[[#This Row],[Column Name]])-2),"")</f>
        <v>Client</v>
      </c>
      <c r="P146" s="1"/>
      <c r="Q146" s="1" t="s">
        <v>25</v>
      </c>
      <c r="R146" s="1" t="s">
        <v>20</v>
      </c>
      <c r="T146" s="1"/>
      <c r="U146" s="1"/>
    </row>
    <row r="147" spans="1:22" ht="30" x14ac:dyDescent="0.25">
      <c r="A147">
        <v>2</v>
      </c>
      <c r="B147" t="s">
        <v>490</v>
      </c>
      <c r="C147" t="s">
        <v>306</v>
      </c>
      <c r="D147" s="1" t="s">
        <v>308</v>
      </c>
      <c r="E147" t="s">
        <v>16</v>
      </c>
      <c r="F147" t="s">
        <v>4</v>
      </c>
      <c r="G147" s="2"/>
      <c r="J147" s="1"/>
      <c r="L147" s="1" t="s">
        <v>391</v>
      </c>
      <c r="M147" t="str">
        <f>IF(Fields[[#This Row],[Reference Entity]]&lt;&gt;"","t" &amp;Fields[[#This Row],[Reference Entity]],"")</f>
        <v>tReferenceGroup</v>
      </c>
      <c r="N147" t="str">
        <f>IF(Fields[[#This Row],[Reference Entity]]&lt;&gt;"",RIGHT(Fields[[#This Row],[Column Name]],LEN(Fields[[#This Row],[Column Name]])-2),"")</f>
        <v>ReferenceGroup</v>
      </c>
      <c r="O147" t="s">
        <v>154</v>
      </c>
      <c r="P147" s="1"/>
      <c r="Q147" s="1" t="s">
        <v>306</v>
      </c>
      <c r="T147" s="1"/>
      <c r="U147" s="1"/>
    </row>
    <row r="148" spans="1:22" x14ac:dyDescent="0.25">
      <c r="A148">
        <v>3</v>
      </c>
      <c r="B148" t="s">
        <v>490</v>
      </c>
      <c r="C148" t="s">
        <v>492</v>
      </c>
      <c r="D148" s="1" t="s">
        <v>309</v>
      </c>
      <c r="E148" t="s">
        <v>19</v>
      </c>
      <c r="F148" t="s">
        <v>277</v>
      </c>
      <c r="G148" s="2">
        <v>12</v>
      </c>
      <c r="J148" s="1"/>
      <c r="L148" s="1" t="s">
        <v>440</v>
      </c>
      <c r="M148" t="str">
        <f>IF(Fields[[#This Row],[Reference Entity]]&lt;&gt;"","t" &amp;Fields[[#This Row],[Reference Entity]],"")</f>
        <v/>
      </c>
      <c r="N148" t="str">
        <f>IF(Fields[[#This Row],[Reference Entity]]&lt;&gt;"",RIGHT(Fields[[#This Row],[Column Name]],LEN(Fields[[#This Row],[Column Name]])-2),"")</f>
        <v/>
      </c>
      <c r="P148" s="1"/>
      <c r="Q148" s="1" t="s">
        <v>25</v>
      </c>
      <c r="R148" s="1" t="s">
        <v>20</v>
      </c>
      <c r="T148" s="1"/>
      <c r="U148" s="1"/>
    </row>
    <row r="149" spans="1:22" x14ac:dyDescent="0.25">
      <c r="A149">
        <v>4</v>
      </c>
      <c r="B149" t="s">
        <v>490</v>
      </c>
      <c r="C149" t="s">
        <v>493</v>
      </c>
      <c r="D149" s="1" t="s">
        <v>310</v>
      </c>
      <c r="E149" t="s">
        <v>19</v>
      </c>
      <c r="F149" t="s">
        <v>277</v>
      </c>
      <c r="G149" s="2">
        <v>50</v>
      </c>
      <c r="H149" t="s">
        <v>20</v>
      </c>
      <c r="J149" s="1"/>
      <c r="L149" s="1" t="s">
        <v>440</v>
      </c>
      <c r="M149" t="str">
        <f>IF(Fields[[#This Row],[Reference Entity]]&lt;&gt;"","t" &amp;Fields[[#This Row],[Reference Entity]],"")</f>
        <v/>
      </c>
      <c r="N149" t="str">
        <f>IF(Fields[[#This Row],[Reference Entity]]&lt;&gt;"",RIGHT(Fields[[#This Row],[Column Name]],LEN(Fields[[#This Row],[Column Name]])-2),"")</f>
        <v/>
      </c>
      <c r="P149" s="1"/>
      <c r="Q149" s="1"/>
      <c r="T149" s="1"/>
      <c r="U149" s="1"/>
    </row>
    <row r="150" spans="1:22" x14ac:dyDescent="0.25">
      <c r="A150">
        <v>5</v>
      </c>
      <c r="B150" t="s">
        <v>490</v>
      </c>
      <c r="C150" t="s">
        <v>491</v>
      </c>
      <c r="D150" s="1" t="s">
        <v>311</v>
      </c>
      <c r="E150" t="s">
        <v>45</v>
      </c>
      <c r="F150" t="s">
        <v>277</v>
      </c>
      <c r="G150" s="2" t="s">
        <v>276</v>
      </c>
      <c r="H150" t="s">
        <v>20</v>
      </c>
      <c r="J150" s="1"/>
      <c r="L150" s="1" t="s">
        <v>440</v>
      </c>
      <c r="M150" t="str">
        <f>IF(Fields[[#This Row],[Reference Entity]]&lt;&gt;"","t" &amp;Fields[[#This Row],[Reference Entity]],"")</f>
        <v/>
      </c>
      <c r="N150" t="str">
        <f>IF(Fields[[#This Row],[Reference Entity]]&lt;&gt;"",RIGHT(Fields[[#This Row],[Column Name]],LEN(Fields[[#This Row],[Column Name]])-2),"")</f>
        <v/>
      </c>
      <c r="P150" s="1"/>
      <c r="Q150" s="1"/>
      <c r="T150" s="1"/>
      <c r="U150" s="1"/>
    </row>
    <row r="151" spans="1:22" x14ac:dyDescent="0.25">
      <c r="A151">
        <v>1</v>
      </c>
      <c r="B151" t="s">
        <v>284</v>
      </c>
      <c r="C151" t="s">
        <v>5</v>
      </c>
      <c r="D151" s="1" t="s">
        <v>289</v>
      </c>
      <c r="E151" t="s">
        <v>16</v>
      </c>
      <c r="F151" t="s">
        <v>4</v>
      </c>
      <c r="G151" s="2"/>
      <c r="J151" s="1"/>
      <c r="L151" s="1" t="s">
        <v>159</v>
      </c>
      <c r="M151" t="str">
        <f>IF(Fields[[#This Row],[Reference Entity]]&lt;&gt;"","t" &amp;Fields[[#This Row],[Reference Entity]],"")</f>
        <v>tClient</v>
      </c>
      <c r="N151" t="str">
        <f>IF(Fields[[#This Row],[Reference Entity]]&lt;&gt;"",RIGHT(Fields[[#This Row],[Column Name]],LEN(Fields[[#This Row],[Column Name]])-2),"")</f>
        <v>Client</v>
      </c>
      <c r="O151" t="s">
        <v>154</v>
      </c>
      <c r="P151" s="1"/>
      <c r="Q151" t="s">
        <v>25</v>
      </c>
      <c r="R151" s="1" t="s">
        <v>20</v>
      </c>
      <c r="S151"/>
    </row>
    <row r="152" spans="1:22" ht="60" x14ac:dyDescent="0.25">
      <c r="A152">
        <v>2</v>
      </c>
      <c r="B152" t="s">
        <v>284</v>
      </c>
      <c r="C152" t="s">
        <v>369</v>
      </c>
      <c r="D152" s="1" t="s">
        <v>300</v>
      </c>
      <c r="E152" t="s">
        <v>19</v>
      </c>
      <c r="F152" t="s">
        <v>277</v>
      </c>
      <c r="G152" s="2">
        <v>1</v>
      </c>
      <c r="J152" s="1"/>
      <c r="K152" s="1" t="s">
        <v>299</v>
      </c>
      <c r="L152" s="1" t="s">
        <v>440</v>
      </c>
      <c r="M152" t="str">
        <f>IF(Fields[[#This Row],[Reference Entity]]&lt;&gt;"","t" &amp;Fields[[#This Row],[Reference Entity]],"")</f>
        <v/>
      </c>
      <c r="N152" t="str">
        <f>IF(Fields[[#This Row],[Reference Entity]]&lt;&gt;"",RIGHT(Fields[[#This Row],[Column Name]],LEN(Fields[[#This Row],[Column Name]])-2),"")</f>
        <v/>
      </c>
      <c r="P152" s="1"/>
      <c r="Q152" t="s">
        <v>25</v>
      </c>
      <c r="R152" s="1" t="s">
        <v>20</v>
      </c>
      <c r="S152"/>
    </row>
    <row r="153" spans="1:22" x14ac:dyDescent="0.25">
      <c r="A153">
        <v>3</v>
      </c>
      <c r="B153" t="s">
        <v>284</v>
      </c>
      <c r="C153" t="s">
        <v>360</v>
      </c>
      <c r="D153" s="1" t="s">
        <v>301</v>
      </c>
      <c r="E153" t="s">
        <v>19</v>
      </c>
      <c r="F153" t="s">
        <v>277</v>
      </c>
      <c r="G153" s="2">
        <v>50</v>
      </c>
      <c r="J153" s="1"/>
      <c r="L153" s="1" t="s">
        <v>440</v>
      </c>
      <c r="M153" t="str">
        <f>IF(Fields[[#This Row],[Reference Entity]]&lt;&gt;"","t" &amp;Fields[[#This Row],[Reference Entity]],"")</f>
        <v/>
      </c>
      <c r="N153" t="str">
        <f>IF(Fields[[#This Row],[Reference Entity]]&lt;&gt;"",RIGHT(Fields[[#This Row],[Column Name]],LEN(Fields[[#This Row],[Column Name]])-2),"")</f>
        <v/>
      </c>
      <c r="P153" s="1"/>
      <c r="Q153" s="1"/>
      <c r="T153" s="1"/>
      <c r="U153" s="1"/>
    </row>
    <row r="154" spans="1:22" x14ac:dyDescent="0.25">
      <c r="A154">
        <v>4</v>
      </c>
      <c r="B154" t="s">
        <v>284</v>
      </c>
      <c r="C154" t="s">
        <v>285</v>
      </c>
      <c r="D154" s="1" t="s">
        <v>302</v>
      </c>
      <c r="E154" t="s">
        <v>19</v>
      </c>
      <c r="F154" t="s">
        <v>277</v>
      </c>
      <c r="G154" s="2">
        <v>2</v>
      </c>
      <c r="H154" t="s">
        <v>20</v>
      </c>
      <c r="J154" s="1"/>
      <c r="L154" s="1" t="s">
        <v>440</v>
      </c>
      <c r="M154" t="str">
        <f>IF(Fields[[#This Row],[Reference Entity]]&lt;&gt;"","t" &amp;Fields[[#This Row],[Reference Entity]],"")</f>
        <v/>
      </c>
      <c r="N154" t="str">
        <f>IF(Fields[[#This Row],[Reference Entity]]&lt;&gt;"",RIGHT(Fields[[#This Row],[Column Name]],LEN(Fields[[#This Row],[Column Name]])-2),"")</f>
        <v/>
      </c>
      <c r="P154" s="1"/>
      <c r="Q154" t="s">
        <v>25</v>
      </c>
      <c r="R154" s="1" t="s">
        <v>20</v>
      </c>
      <c r="S154"/>
    </row>
    <row r="155" spans="1:22" ht="30" x14ac:dyDescent="0.25">
      <c r="A155">
        <v>5</v>
      </c>
      <c r="B155" t="s">
        <v>284</v>
      </c>
      <c r="C155" t="s">
        <v>286</v>
      </c>
      <c r="D155" s="1" t="s">
        <v>303</v>
      </c>
      <c r="E155" t="s">
        <v>16</v>
      </c>
      <c r="F155" t="s">
        <v>4</v>
      </c>
      <c r="G155" s="2"/>
      <c r="I155">
        <v>0</v>
      </c>
      <c r="J155" s="1"/>
      <c r="L155" s="1" t="s">
        <v>440</v>
      </c>
      <c r="M155" t="str">
        <f>IF(Fields[[#This Row],[Reference Entity]]&lt;&gt;"","t" &amp;Fields[[#This Row],[Reference Entity]],"")</f>
        <v/>
      </c>
      <c r="N155" t="str">
        <f>IF(Fields[[#This Row],[Reference Entity]]&lt;&gt;"",RIGHT(Fields[[#This Row],[Column Name]],LEN(Fields[[#This Row],[Column Name]])-2),"")</f>
        <v/>
      </c>
      <c r="P155" s="1"/>
      <c r="Q155" s="1"/>
      <c r="T155" s="1"/>
      <c r="U155" s="1"/>
    </row>
    <row r="156" spans="1:22" x14ac:dyDescent="0.25">
      <c r="A156">
        <v>6</v>
      </c>
      <c r="B156" t="s">
        <v>284</v>
      </c>
      <c r="C156" t="s">
        <v>287</v>
      </c>
      <c r="D156" s="1" t="s">
        <v>304</v>
      </c>
      <c r="E156" t="s">
        <v>18</v>
      </c>
      <c r="F156" t="s">
        <v>6</v>
      </c>
      <c r="G156" s="2"/>
      <c r="I156">
        <v>1</v>
      </c>
      <c r="J156" s="1"/>
      <c r="L156" s="1" t="s">
        <v>440</v>
      </c>
      <c r="M156" t="str">
        <f>IF(Fields[[#This Row],[Reference Entity]]&lt;&gt;"","t" &amp;Fields[[#This Row],[Reference Entity]],"")</f>
        <v/>
      </c>
      <c r="N156" t="str">
        <f>IF(Fields[[#This Row],[Reference Entity]]&lt;&gt;"",RIGHT(Fields[[#This Row],[Column Name]],LEN(Fields[[#This Row],[Column Name]])-2),"")</f>
        <v/>
      </c>
      <c r="P156" s="1"/>
      <c r="Q156" s="1"/>
      <c r="T156" s="1"/>
      <c r="U156" s="1"/>
    </row>
    <row r="157" spans="1:22" x14ac:dyDescent="0.25">
      <c r="A157">
        <v>7</v>
      </c>
      <c r="B157" t="s">
        <v>284</v>
      </c>
      <c r="C157" t="s">
        <v>288</v>
      </c>
      <c r="D157" s="1" t="s">
        <v>305</v>
      </c>
      <c r="E157" t="s">
        <v>134</v>
      </c>
      <c r="F157" t="s">
        <v>271</v>
      </c>
      <c r="G157" s="2"/>
      <c r="I157">
        <v>4</v>
      </c>
      <c r="J157" s="1"/>
      <c r="L157" s="1" t="s">
        <v>440</v>
      </c>
      <c r="M157" t="str">
        <f>IF(Fields[[#This Row],[Reference Entity]]&lt;&gt;"","t" &amp;Fields[[#This Row],[Reference Entity]],"")</f>
        <v/>
      </c>
      <c r="N157" t="str">
        <f>IF(Fields[[#This Row],[Reference Entity]]&lt;&gt;"",RIGHT(Fields[[#This Row],[Column Name]],LEN(Fields[[#This Row],[Column Name]])-2),"")</f>
        <v/>
      </c>
      <c r="P157" s="1"/>
      <c r="Q157" s="1"/>
      <c r="T157" s="1"/>
      <c r="U157" s="1"/>
    </row>
    <row r="158" spans="1:22" x14ac:dyDescent="0.25">
      <c r="A158">
        <v>1</v>
      </c>
      <c r="B158" t="s">
        <v>536</v>
      </c>
      <c r="C158" t="s">
        <v>541</v>
      </c>
      <c r="D158" s="1" t="s">
        <v>538</v>
      </c>
      <c r="E158" t="s">
        <v>16</v>
      </c>
      <c r="F158" t="s">
        <v>4</v>
      </c>
      <c r="G158" s="2"/>
      <c r="J158" s="1"/>
      <c r="L158" t="s">
        <v>534</v>
      </c>
      <c r="M158" t="str">
        <f>IF(Fields[[#This Row],[Reference Entity]]&lt;&gt;"","t" &amp;Fields[[#This Row],[Reference Entity]],"")</f>
        <v>tTypeGroupDef</v>
      </c>
      <c r="N158" t="str">
        <f>IF(Fields[[#This Row],[Reference Entity]]&lt;&gt;"",RIGHT(Fields[[#This Row],[Column Name]],LEN(Fields[[#This Row],[Column Name]])-2),"")</f>
        <v>TypeGroupDef</v>
      </c>
      <c r="O158" t="s">
        <v>154</v>
      </c>
      <c r="P158" s="1"/>
      <c r="S158"/>
      <c r="V158" t="s">
        <v>535</v>
      </c>
    </row>
    <row r="159" spans="1:22" x14ac:dyDescent="0.25">
      <c r="A159">
        <v>2</v>
      </c>
      <c r="B159" t="s">
        <v>536</v>
      </c>
      <c r="C159" t="s">
        <v>542</v>
      </c>
      <c r="D159" s="1" t="s">
        <v>544</v>
      </c>
      <c r="E159" t="s">
        <v>19</v>
      </c>
      <c r="F159" t="s">
        <v>277</v>
      </c>
      <c r="G159" s="2">
        <v>25</v>
      </c>
      <c r="J159" s="1"/>
      <c r="L159" s="1"/>
      <c r="M159" t="str">
        <f>IF(Fields[[#This Row],[Reference Entity]]&lt;&gt;"","t" &amp;Fields[[#This Row],[Reference Entity]],"")</f>
        <v/>
      </c>
      <c r="P159" s="1"/>
      <c r="Q159" t="s">
        <v>533</v>
      </c>
      <c r="R159" s="1" t="s">
        <v>20</v>
      </c>
      <c r="S159"/>
      <c r="V159" t="s">
        <v>535</v>
      </c>
    </row>
    <row r="160" spans="1:22" x14ac:dyDescent="0.25">
      <c r="A160">
        <v>3</v>
      </c>
      <c r="B160" t="s">
        <v>536</v>
      </c>
      <c r="C160" t="s">
        <v>539</v>
      </c>
      <c r="D160" s="1" t="s">
        <v>545</v>
      </c>
      <c r="E160" t="s">
        <v>30</v>
      </c>
      <c r="F160" t="s">
        <v>271</v>
      </c>
      <c r="G160" s="2"/>
      <c r="J160" s="1"/>
      <c r="L160" s="1"/>
      <c r="M160" t="str">
        <f>IF(Fields[[#This Row],[Reference Entity]]&lt;&gt;"","t" &amp;Fields[[#This Row],[Reference Entity]],"")</f>
        <v/>
      </c>
      <c r="P160" s="1"/>
      <c r="Q160" t="s">
        <v>533</v>
      </c>
      <c r="R160" s="1" t="s">
        <v>20</v>
      </c>
      <c r="S160"/>
      <c r="V160" t="s">
        <v>535</v>
      </c>
    </row>
    <row r="161" spans="1:22" x14ac:dyDescent="0.25">
      <c r="A161">
        <v>1</v>
      </c>
      <c r="B161" t="s">
        <v>537</v>
      </c>
      <c r="C161" t="s">
        <v>540</v>
      </c>
      <c r="D161" s="1" t="s">
        <v>543</v>
      </c>
      <c r="E161" t="s">
        <v>19</v>
      </c>
      <c r="F161" t="s">
        <v>277</v>
      </c>
      <c r="G161" s="2">
        <v>25</v>
      </c>
      <c r="J161" s="1"/>
      <c r="L161" s="1" t="s">
        <v>440</v>
      </c>
      <c r="M161" t="str">
        <f>IF(Fields[[#This Row],[Reference Entity]]&lt;&gt;"","t" &amp;Fields[[#This Row],[Reference Entity]],"")</f>
        <v/>
      </c>
      <c r="N161" t="str">
        <f>IF(Fields[[#This Row],[Reference Entity]]&lt;&gt;"",RIGHT(Fields[[#This Row],[Column Name]],LEN(Fields[[#This Row],[Column Name]])-2),"")</f>
        <v/>
      </c>
      <c r="P161" s="1"/>
      <c r="Q161" t="str">
        <f>Fields[[#This Row],[Column Name]]</f>
        <v>TypeGroupID</v>
      </c>
      <c r="R161" s="1" t="s">
        <v>20</v>
      </c>
      <c r="S161"/>
      <c r="V161" t="s">
        <v>535</v>
      </c>
    </row>
    <row r="162" spans="1:22" x14ac:dyDescent="0.25">
      <c r="A162">
        <v>1</v>
      </c>
      <c r="B162" t="s">
        <v>64</v>
      </c>
      <c r="C162" t="s">
        <v>5</v>
      </c>
      <c r="D162" s="1" t="s">
        <v>289</v>
      </c>
      <c r="E162" t="s">
        <v>16</v>
      </c>
      <c r="F162" t="s">
        <v>4</v>
      </c>
      <c r="G162" s="2"/>
      <c r="J162" s="1"/>
      <c r="L162" s="1" t="s">
        <v>159</v>
      </c>
      <c r="M162" t="str">
        <f>IF(Fields[[#This Row],[Reference Entity]]&lt;&gt;"","t" &amp;Fields[[#This Row],[Reference Entity]],"")</f>
        <v>tClient</v>
      </c>
      <c r="N162" t="str">
        <f>IF(Fields[[#This Row],[Reference Entity]]&lt;&gt;"",RIGHT(Fields[[#This Row],[Column Name]],LEN(Fields[[#This Row],[Column Name]])-2),"")</f>
        <v>Client</v>
      </c>
      <c r="O162" t="s">
        <v>154</v>
      </c>
      <c r="P162" s="1"/>
      <c r="Q162" t="s">
        <v>25</v>
      </c>
      <c r="R162" s="1" t="s">
        <v>20</v>
      </c>
      <c r="S162"/>
    </row>
    <row r="163" spans="1:22" x14ac:dyDescent="0.25">
      <c r="A163">
        <v>2</v>
      </c>
      <c r="B163" t="s">
        <v>64</v>
      </c>
      <c r="C163" t="s">
        <v>278</v>
      </c>
      <c r="D163" s="1" t="s">
        <v>290</v>
      </c>
      <c r="E163" t="s">
        <v>16</v>
      </c>
      <c r="F163" t="s">
        <v>4</v>
      </c>
      <c r="G163" s="2"/>
      <c r="J163" s="1"/>
      <c r="L163" s="1" t="s">
        <v>386</v>
      </c>
      <c r="M163" t="str">
        <f>IF(Fields[[#This Row],[Reference Entity]]&lt;&gt;"","t" &amp;Fields[[#This Row],[Reference Entity]],"")</f>
        <v>tAccount</v>
      </c>
      <c r="N163" t="str">
        <f>IF(Fields[[#This Row],[Reference Entity]]&lt;&gt;"",RIGHT(Fields[[#This Row],[Column Name]],LEN(Fields[[#This Row],[Column Name]])-2),"")</f>
        <v>AccountVATInput</v>
      </c>
      <c r="P163" s="1"/>
      <c r="Q163" t="str">
        <f>Fields[[#This Row],[Column Name]]</f>
        <v>idAccountVATInput</v>
      </c>
      <c r="S163"/>
      <c r="U163" t="s">
        <v>432</v>
      </c>
    </row>
    <row r="164" spans="1:22" x14ac:dyDescent="0.25">
      <c r="A164">
        <v>3</v>
      </c>
      <c r="B164" t="s">
        <v>64</v>
      </c>
      <c r="C164" t="s">
        <v>279</v>
      </c>
      <c r="D164" s="1" t="s">
        <v>291</v>
      </c>
      <c r="E164" t="s">
        <v>16</v>
      </c>
      <c r="F164" t="s">
        <v>4</v>
      </c>
      <c r="G164" s="2"/>
      <c r="J164" s="1"/>
      <c r="L164" s="1" t="s">
        <v>386</v>
      </c>
      <c r="M164" t="str">
        <f>IF(Fields[[#This Row],[Reference Entity]]&lt;&gt;"","t" &amp;Fields[[#This Row],[Reference Entity]],"")</f>
        <v>tAccount</v>
      </c>
      <c r="N164" t="str">
        <f>IF(Fields[[#This Row],[Reference Entity]]&lt;&gt;"",RIGHT(Fields[[#This Row],[Column Name]],LEN(Fields[[#This Row],[Column Name]])-2),"")</f>
        <v>AccountVATOutput</v>
      </c>
      <c r="P164" s="1"/>
      <c r="Q164" t="str">
        <f>Fields[[#This Row],[Column Name]]</f>
        <v>idAccountVATOutput</v>
      </c>
      <c r="S164"/>
      <c r="U164" t="s">
        <v>433</v>
      </c>
    </row>
    <row r="165" spans="1:22" x14ac:dyDescent="0.25">
      <c r="A165">
        <v>4</v>
      </c>
      <c r="B165" t="s">
        <v>64</v>
      </c>
      <c r="C165" t="s">
        <v>327</v>
      </c>
      <c r="D165" s="1" t="s">
        <v>297</v>
      </c>
      <c r="E165" t="s">
        <v>19</v>
      </c>
      <c r="F165" t="s">
        <v>277</v>
      </c>
      <c r="G165" s="2">
        <v>5</v>
      </c>
      <c r="J165" s="1"/>
      <c r="L165" s="1" t="s">
        <v>440</v>
      </c>
      <c r="M165" t="str">
        <f>IF(Fields[[#This Row],[Reference Entity]]&lt;&gt;"","t" &amp;Fields[[#This Row],[Reference Entity]],"")</f>
        <v/>
      </c>
      <c r="N165" t="str">
        <f>IF(Fields[[#This Row],[Reference Entity]]&lt;&gt;"",RIGHT(Fields[[#This Row],[Column Name]],LEN(Fields[[#This Row],[Column Name]])-2),"")</f>
        <v/>
      </c>
      <c r="P165" s="1"/>
      <c r="Q165" t="s">
        <v>25</v>
      </c>
      <c r="R165" s="1" t="s">
        <v>20</v>
      </c>
      <c r="S165"/>
    </row>
    <row r="166" spans="1:22" x14ac:dyDescent="0.25">
      <c r="A166">
        <v>5</v>
      </c>
      <c r="B166" t="s">
        <v>64</v>
      </c>
      <c r="C166" t="s">
        <v>359</v>
      </c>
      <c r="D166" s="1" t="s">
        <v>298</v>
      </c>
      <c r="E166" t="s">
        <v>19</v>
      </c>
      <c r="F166" t="s">
        <v>277</v>
      </c>
      <c r="G166" s="2">
        <v>50</v>
      </c>
      <c r="J166" s="1"/>
      <c r="L166" s="1" t="s">
        <v>440</v>
      </c>
      <c r="M166" t="str">
        <f>IF(Fields[[#This Row],[Reference Entity]]&lt;&gt;"","t" &amp;Fields[[#This Row],[Reference Entity]],"")</f>
        <v/>
      </c>
      <c r="N166" t="str">
        <f>IF(Fields[[#This Row],[Reference Entity]]&lt;&gt;"",RIGHT(Fields[[#This Row],[Column Name]],LEN(Fields[[#This Row],[Column Name]])-2),"")</f>
        <v/>
      </c>
      <c r="P166" s="1"/>
      <c r="Q166" s="1"/>
      <c r="T166" s="1"/>
      <c r="U166" s="1"/>
    </row>
    <row r="167" spans="1:22" x14ac:dyDescent="0.25">
      <c r="A167">
        <v>6</v>
      </c>
      <c r="B167" t="s">
        <v>64</v>
      </c>
      <c r="C167" t="s">
        <v>280</v>
      </c>
      <c r="D167" s="1" t="s">
        <v>293</v>
      </c>
      <c r="E167" t="s">
        <v>60</v>
      </c>
      <c r="F167" t="s">
        <v>272</v>
      </c>
      <c r="G167" s="2"/>
      <c r="J167" s="1"/>
      <c r="L167" s="1" t="s">
        <v>440</v>
      </c>
      <c r="M167" t="str">
        <f>IF(Fields[[#This Row],[Reference Entity]]&lt;&gt;"","t" &amp;Fields[[#This Row],[Reference Entity]],"")</f>
        <v/>
      </c>
      <c r="N167" t="str">
        <f>IF(Fields[[#This Row],[Reference Entity]]&lt;&gt;"",RIGHT(Fields[[#This Row],[Column Name]],LEN(Fields[[#This Row],[Column Name]])-2),"")</f>
        <v/>
      </c>
      <c r="P167" s="1"/>
      <c r="Q167" s="1"/>
      <c r="T167" s="1"/>
      <c r="U167" s="1"/>
    </row>
    <row r="168" spans="1:22" x14ac:dyDescent="0.25">
      <c r="A168">
        <v>7</v>
      </c>
      <c r="B168" t="s">
        <v>64</v>
      </c>
      <c r="C168" t="s">
        <v>281</v>
      </c>
      <c r="D168" s="1" t="s">
        <v>294</v>
      </c>
      <c r="E168" t="s">
        <v>17</v>
      </c>
      <c r="F168" t="s">
        <v>449</v>
      </c>
      <c r="G168" s="2"/>
      <c r="H168" t="s">
        <v>20</v>
      </c>
      <c r="J168" s="1"/>
      <c r="L168" s="1" t="s">
        <v>440</v>
      </c>
      <c r="M168" t="str">
        <f>IF(Fields[[#This Row],[Reference Entity]]&lt;&gt;"","t" &amp;Fields[[#This Row],[Reference Entity]],"")</f>
        <v/>
      </c>
      <c r="N168" t="str">
        <f>IF(Fields[[#This Row],[Reference Entity]]&lt;&gt;"",RIGHT(Fields[[#This Row],[Column Name]],LEN(Fields[[#This Row],[Column Name]])-2),"")</f>
        <v/>
      </c>
      <c r="P168" s="1"/>
      <c r="Q168" s="1"/>
      <c r="T168" s="1"/>
      <c r="U168" s="1"/>
    </row>
    <row r="169" spans="1:22" x14ac:dyDescent="0.25">
      <c r="A169">
        <v>8</v>
      </c>
      <c r="B169" t="s">
        <v>64</v>
      </c>
      <c r="C169" t="s">
        <v>282</v>
      </c>
      <c r="D169" s="1" t="s">
        <v>295</v>
      </c>
      <c r="E169" t="s">
        <v>60</v>
      </c>
      <c r="F169" t="s">
        <v>272</v>
      </c>
      <c r="G169" s="2"/>
      <c r="J169" s="1"/>
      <c r="L169" s="1" t="s">
        <v>440</v>
      </c>
      <c r="M169" t="str">
        <f>IF(Fields[[#This Row],[Reference Entity]]&lt;&gt;"","t" &amp;Fields[[#This Row],[Reference Entity]],"")</f>
        <v/>
      </c>
      <c r="N169" t="str">
        <f>IF(Fields[[#This Row],[Reference Entity]]&lt;&gt;"",RIGHT(Fields[[#This Row],[Column Name]],LEN(Fields[[#This Row],[Column Name]])-2),"")</f>
        <v/>
      </c>
      <c r="P169" s="1"/>
      <c r="Q169" s="1"/>
      <c r="T169" s="1"/>
      <c r="U169" s="1"/>
    </row>
    <row r="170" spans="1:22" ht="30" x14ac:dyDescent="0.25">
      <c r="A170">
        <v>9</v>
      </c>
      <c r="B170" t="s">
        <v>64</v>
      </c>
      <c r="C170" t="s">
        <v>292</v>
      </c>
      <c r="D170" s="1" t="s">
        <v>296</v>
      </c>
      <c r="E170" t="s">
        <v>18</v>
      </c>
      <c r="F170" t="s">
        <v>6</v>
      </c>
      <c r="G170" s="2"/>
      <c r="I170">
        <v>0</v>
      </c>
      <c r="J170" s="1"/>
      <c r="L170" s="1" t="s">
        <v>440</v>
      </c>
      <c r="M170" t="str">
        <f>IF(Fields[[#This Row],[Reference Entity]]&lt;&gt;"","t" &amp;Fields[[#This Row],[Reference Entity]],"")</f>
        <v/>
      </c>
      <c r="N170" t="str">
        <f>IF(Fields[[#This Row],[Reference Entity]]&lt;&gt;"",RIGHT(Fields[[#This Row],[Column Name]],LEN(Fields[[#This Row],[Column Name]])-2),"")</f>
        <v/>
      </c>
      <c r="P170" s="1"/>
      <c r="Q170" s="1"/>
      <c r="T170" s="1"/>
      <c r="U170" s="1"/>
    </row>
    <row r="171" spans="1:22" x14ac:dyDescent="0.25">
      <c r="A171">
        <v>1</v>
      </c>
      <c r="B171" t="s">
        <v>557</v>
      </c>
      <c r="C171" t="s">
        <v>555</v>
      </c>
      <c r="D171" s="1"/>
      <c r="E171" t="s">
        <v>19</v>
      </c>
      <c r="F171" t="s">
        <v>558</v>
      </c>
      <c r="G171" s="2"/>
      <c r="I171" t="s">
        <v>556</v>
      </c>
      <c r="L171" s="1"/>
      <c r="M171" t="str">
        <f>IF(Fields[[#This Row],[Reference Entity]]&lt;&gt;"","t" &amp;Fields[[#This Row],[Reference Entity]],"")</f>
        <v/>
      </c>
      <c r="P171" s="1"/>
      <c r="T171" s="1"/>
      <c r="U171" s="1"/>
      <c r="V171" t="s">
        <v>535</v>
      </c>
    </row>
  </sheetData>
  <dataValidations count="2">
    <dataValidation type="list" allowBlank="1" showInputMessage="1" showErrorMessage="1" sqref="R2:R171 H2:H171" xr:uid="{495B4725-4939-4EB2-85B4-CFC1349C9CC1}">
      <formula1>"Yes"</formula1>
    </dataValidation>
    <dataValidation type="list" allowBlank="1" showInputMessage="1" showErrorMessage="1" sqref="F2:F171" xr:uid="{43996FCD-BD43-45E1-B0C6-48ACDBB86BE6}">
      <formula1>ListSQLTypes</formula1>
    </dataValidation>
  </dataValidations>
  <pageMargins left="0.7" right="0.7" top="0.78740157499999996" bottom="0.78740157499999996"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649EED2-04B6-47DB-8428-EFCA8AE5A4CB}">
          <x14:formula1>
            <xm:f>Lists!$C$2:$C$3</xm:f>
          </x14:formula1>
          <xm:sqref>O2:O171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E41F4-C0BE-427F-B56D-1149F2DA66D9}">
  <sheetPr codeName="Tabelle5"/>
  <dimension ref="A1:D18"/>
  <sheetViews>
    <sheetView workbookViewId="0">
      <selection activeCell="B18" sqref="B18"/>
    </sheetView>
  </sheetViews>
  <sheetFormatPr baseColWidth="10" defaultRowHeight="15" x14ac:dyDescent="0.25"/>
  <cols>
    <col min="1" max="1" width="16.7109375" bestFit="1" customWidth="1"/>
    <col min="2" max="2" width="12.140625" bestFit="1" customWidth="1"/>
    <col min="3" max="3" width="7.85546875" bestFit="1" customWidth="1"/>
    <col min="4" max="4" width="19" bestFit="1" customWidth="1"/>
  </cols>
  <sheetData>
    <row r="1" spans="1:4" x14ac:dyDescent="0.25">
      <c r="A1" t="s">
        <v>494</v>
      </c>
      <c r="B1" t="s">
        <v>495</v>
      </c>
      <c r="C1" t="s">
        <v>25</v>
      </c>
      <c r="D1" t="s">
        <v>504</v>
      </c>
    </row>
    <row r="2" spans="1:4" x14ac:dyDescent="0.25">
      <c r="A2" t="s">
        <v>367</v>
      </c>
      <c r="B2" t="s">
        <v>501</v>
      </c>
      <c r="C2">
        <v>0</v>
      </c>
      <c r="D2" t="str">
        <f>Tabelle6[[#This Row],[Title]] &amp; " = "&amp;Tabelle6[[#This Row],[Code]]&amp;IF(A3=Tabelle6[[#This Row],[Type Name]],",","")</f>
        <v>BookingRule = 0,</v>
      </c>
    </row>
    <row r="3" spans="1:4" x14ac:dyDescent="0.25">
      <c r="A3" t="s">
        <v>367</v>
      </c>
      <c r="B3" t="s">
        <v>502</v>
      </c>
      <c r="C3">
        <v>1</v>
      </c>
      <c r="D3" t="str">
        <f>Tabelle6[[#This Row],[Title]] &amp; " = "&amp;Tabelle6[[#This Row],[Code]]&amp;IF(A4=Tabelle6[[#This Row],[Type Name]],",","")</f>
        <v>Contract = 1,</v>
      </c>
    </row>
    <row r="4" spans="1:4" x14ac:dyDescent="0.25">
      <c r="A4" t="s">
        <v>367</v>
      </c>
      <c r="B4" t="s">
        <v>503</v>
      </c>
      <c r="C4">
        <v>2</v>
      </c>
      <c r="D4" t="str">
        <f>Tabelle6[[#This Row],[Title]] &amp; " = "&amp;Tabelle6[[#This Row],[Code]]&amp;IF(A5=Tabelle6[[#This Row],[Type Name]],",","")</f>
        <v>Personnel = 2</v>
      </c>
    </row>
    <row r="5" spans="1:4" x14ac:dyDescent="0.25">
      <c r="A5" t="s">
        <v>150</v>
      </c>
      <c r="B5" t="s">
        <v>497</v>
      </c>
      <c r="C5">
        <v>-1</v>
      </c>
      <c r="D5" t="str">
        <f>Tabelle6[[#This Row],[Title]] &amp; " = "&amp;Tabelle6[[#This Row],[Code]]&amp;IF(A6=Tabelle6[[#This Row],[Type Name]],",","")</f>
        <v>Schedule = -1,</v>
      </c>
    </row>
    <row r="6" spans="1:4" x14ac:dyDescent="0.25">
      <c r="A6" t="s">
        <v>150</v>
      </c>
      <c r="B6" t="s">
        <v>496</v>
      </c>
      <c r="C6">
        <v>0</v>
      </c>
      <c r="D6" t="str">
        <f>Tabelle6[[#This Row],[Title]] &amp; " = "&amp;Tabelle6[[#This Row],[Code]]&amp;IF(A7=Tabelle6[[#This Row],[Type Name]],",","")</f>
        <v>NoRepeat = 0,</v>
      </c>
    </row>
    <row r="7" spans="1:4" x14ac:dyDescent="0.25">
      <c r="A7" t="s">
        <v>150</v>
      </c>
      <c r="B7" t="s">
        <v>498</v>
      </c>
      <c r="C7">
        <v>1</v>
      </c>
      <c r="D7" t="str">
        <f>Tabelle6[[#This Row],[Title]] &amp; " = "&amp;Tabelle6[[#This Row],[Code]]&amp;IF(A8=Tabelle6[[#This Row],[Type Name]],",","")</f>
        <v>Monthly = 1,</v>
      </c>
    </row>
    <row r="8" spans="1:4" x14ac:dyDescent="0.25">
      <c r="A8" t="s">
        <v>150</v>
      </c>
      <c r="B8" t="s">
        <v>499</v>
      </c>
      <c r="C8">
        <v>3</v>
      </c>
      <c r="D8" t="str">
        <f>Tabelle6[[#This Row],[Title]] &amp; " = "&amp;Tabelle6[[#This Row],[Code]]&amp;IF(A9=Tabelle6[[#This Row],[Type Name]],",","")</f>
        <v>Quarterly = 3,</v>
      </c>
    </row>
    <row r="9" spans="1:4" x14ac:dyDescent="0.25">
      <c r="A9" t="s">
        <v>150</v>
      </c>
      <c r="B9" t="s">
        <v>500</v>
      </c>
      <c r="C9">
        <v>12</v>
      </c>
      <c r="D9" t="str">
        <f>Tabelle6[[#This Row],[Title]] &amp; " = "&amp;Tabelle6[[#This Row],[Code]]&amp;IF(A10=Tabelle6[[#This Row],[Type Name]],",","")</f>
        <v>Annually = 12</v>
      </c>
    </row>
    <row r="10" spans="1:4" x14ac:dyDescent="0.25">
      <c r="A10" t="s">
        <v>365</v>
      </c>
      <c r="B10" s="5" t="s">
        <v>507</v>
      </c>
      <c r="C10" s="5">
        <v>0</v>
      </c>
      <c r="D10" t="str">
        <f>Tabelle6[[#This Row],[Title]] &amp; " = "&amp;Tabelle6[[#This Row],[Code]]&amp;IF(A11=Tabelle6[[#This Row],[Type Name]],",","")</f>
        <v>Actual = 0,</v>
      </c>
    </row>
    <row r="11" spans="1:4" x14ac:dyDescent="0.25">
      <c r="A11" t="s">
        <v>365</v>
      </c>
      <c r="B11" t="s">
        <v>506</v>
      </c>
      <c r="C11">
        <v>1</v>
      </c>
      <c r="D11" s="7" t="str">
        <f>Tabelle6[[#This Row],[Title]] &amp; " = "&amp;Tabelle6[[#This Row],[Code]]&amp;IF(A12=Tabelle6[[#This Row],[Type Name]],",","")</f>
        <v>Baseline = 1,</v>
      </c>
    </row>
    <row r="12" spans="1:4" x14ac:dyDescent="0.25">
      <c r="A12" t="s">
        <v>365</v>
      </c>
      <c r="B12" t="s">
        <v>393</v>
      </c>
      <c r="C12">
        <v>2</v>
      </c>
      <c r="D12" s="7" t="str">
        <f>Tabelle6[[#This Row],[Title]] &amp; " = "&amp;Tabelle6[[#This Row],[Code]]&amp;IF(A13=Tabelle6[[#This Row],[Type Name]],",","")</f>
        <v>Plan = 2</v>
      </c>
    </row>
    <row r="13" spans="1:4" x14ac:dyDescent="0.25">
      <c r="A13" t="s">
        <v>368</v>
      </c>
      <c r="B13" s="1" t="s">
        <v>510</v>
      </c>
      <c r="C13">
        <v>0</v>
      </c>
      <c r="D13" s="7" t="str">
        <f>Tabelle6[[#This Row],[Title]] &amp; " = "&amp;Tabelle6[[#This Row],[Code]]&amp;IF(A14=Tabelle6[[#This Row],[Type Name]],",","")</f>
        <v>PriceFactor = 0,</v>
      </c>
    </row>
    <row r="14" spans="1:4" x14ac:dyDescent="0.25">
      <c r="A14" t="s">
        <v>368</v>
      </c>
      <c r="B14" t="s">
        <v>511</v>
      </c>
      <c r="C14">
        <v>10</v>
      </c>
      <c r="D14" s="7" t="str">
        <f>Tabelle6[[#This Row],[Title]] &amp; " = "&amp;Tabelle6[[#This Row],[Code]]&amp;IF(A15=Tabelle6[[#This Row],[Type Name]],",","")</f>
        <v>TriggerDate = 10</v>
      </c>
    </row>
    <row r="15" spans="1:4" ht="30" x14ac:dyDescent="0.25">
      <c r="A15" s="1" t="s">
        <v>547</v>
      </c>
      <c r="B15" t="s">
        <v>548</v>
      </c>
      <c r="C15">
        <v>1</v>
      </c>
      <c r="D15" s="7" t="str">
        <f>Tabelle6[[#This Row],[Title]] &amp; " = "&amp;Tabelle6[[#This Row],[Code]]&amp;IF(A16=Tabelle6[[#This Row],[Type Name]],",","")</f>
        <v>Cash = 1,</v>
      </c>
    </row>
    <row r="16" spans="1:4" ht="30" x14ac:dyDescent="0.25">
      <c r="A16" s="1" t="s">
        <v>547</v>
      </c>
      <c r="B16" t="s">
        <v>549</v>
      </c>
      <c r="C16">
        <v>2</v>
      </c>
      <c r="D16" s="7" t="str">
        <f>Tabelle6[[#This Row],[Title]] &amp; " = "&amp;Tabelle6[[#This Row],[Code]]&amp;IF(A18=Tabelle6[[#This Row],[Type Name]],",","")</f>
        <v>CashDefault = 2,</v>
      </c>
    </row>
    <row r="17" spans="1:4" ht="30" x14ac:dyDescent="0.25">
      <c r="A17" s="1" t="s">
        <v>547</v>
      </c>
      <c r="B17" t="s">
        <v>551</v>
      </c>
      <c r="C17">
        <v>3</v>
      </c>
      <c r="D17" s="7" t="str">
        <f>Tabelle6[[#This Row],[Title]] &amp; " = "&amp;Tabelle6[[#This Row],[Code]]&amp;IF(A18=Tabelle6[[#This Row],[Type Name]],",","")</f>
        <v>Payables = 3,</v>
      </c>
    </row>
    <row r="18" spans="1:4" x14ac:dyDescent="0.25">
      <c r="A18" t="s">
        <v>547</v>
      </c>
      <c r="B18" t="s">
        <v>550</v>
      </c>
      <c r="C18">
        <v>4</v>
      </c>
      <c r="D18" s="7" t="str">
        <f>Tabelle6[[#This Row],[Title]] &amp; " = "&amp;Tabelle6[[#This Row],[Code]]&amp;IF(A19=Tabelle6[[#This Row],[Type Name]],",","")</f>
        <v>PayablesDefault = 4</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8276-7C85-4771-88A3-FD597868EC41}">
  <sheetPr codeName="Tabelle3"/>
  <dimension ref="A1:E47"/>
  <sheetViews>
    <sheetView topLeftCell="A20" workbookViewId="0">
      <selection activeCell="E46" sqref="E46"/>
    </sheetView>
  </sheetViews>
  <sheetFormatPr baseColWidth="10" defaultRowHeight="15" x14ac:dyDescent="0.25"/>
  <cols>
    <col min="3" max="3" width="15.42578125" customWidth="1"/>
    <col min="4" max="4" width="144.85546875" customWidth="1"/>
  </cols>
  <sheetData>
    <row r="1" spans="1:5" x14ac:dyDescent="0.25">
      <c r="A1" t="s">
        <v>98</v>
      </c>
      <c r="B1" t="s">
        <v>22</v>
      </c>
      <c r="C1" t="s">
        <v>458</v>
      </c>
      <c r="D1" t="s">
        <v>3</v>
      </c>
      <c r="E1" t="s">
        <v>374</v>
      </c>
    </row>
    <row r="2" spans="1:5" ht="30" x14ac:dyDescent="0.25">
      <c r="A2" s="3">
        <v>43951</v>
      </c>
      <c r="B2" t="s">
        <v>128</v>
      </c>
      <c r="D2" s="1" t="s">
        <v>101</v>
      </c>
    </row>
    <row r="3" spans="1:5" x14ac:dyDescent="0.25">
      <c r="A3" s="3">
        <v>43951</v>
      </c>
      <c r="B3" t="s">
        <v>128</v>
      </c>
      <c r="D3" t="s">
        <v>99</v>
      </c>
    </row>
    <row r="4" spans="1:5" x14ac:dyDescent="0.25">
      <c r="A4" s="3">
        <v>43951</v>
      </c>
      <c r="B4" t="s">
        <v>128</v>
      </c>
      <c r="D4" t="s">
        <v>100</v>
      </c>
    </row>
    <row r="5" spans="1:5" ht="30" x14ac:dyDescent="0.25">
      <c r="A5" s="3">
        <v>43951</v>
      </c>
      <c r="B5" t="s">
        <v>128</v>
      </c>
      <c r="D5" s="1" t="s">
        <v>113</v>
      </c>
    </row>
    <row r="6" spans="1:5" x14ac:dyDescent="0.25">
      <c r="A6" s="3">
        <v>43951</v>
      </c>
      <c r="B6" t="s">
        <v>129</v>
      </c>
      <c r="D6" t="s">
        <v>130</v>
      </c>
    </row>
    <row r="7" spans="1:5" ht="30" x14ac:dyDescent="0.25">
      <c r="A7" s="3">
        <v>43951</v>
      </c>
      <c r="B7" t="s">
        <v>129</v>
      </c>
      <c r="D7" s="1" t="s">
        <v>131</v>
      </c>
    </row>
    <row r="8" spans="1:5" x14ac:dyDescent="0.25">
      <c r="A8" s="3">
        <v>43951</v>
      </c>
      <c r="B8" t="s">
        <v>128</v>
      </c>
      <c r="D8" t="s">
        <v>132</v>
      </c>
    </row>
    <row r="9" spans="1:5" x14ac:dyDescent="0.25">
      <c r="A9" s="3">
        <v>43952</v>
      </c>
      <c r="B9" t="s">
        <v>129</v>
      </c>
      <c r="D9" s="1" t="s">
        <v>160</v>
      </c>
    </row>
    <row r="10" spans="1:5" x14ac:dyDescent="0.25">
      <c r="A10" s="3">
        <v>43952</v>
      </c>
      <c r="B10" t="s">
        <v>128</v>
      </c>
      <c r="D10" t="s">
        <v>161</v>
      </c>
    </row>
    <row r="11" spans="1:5" x14ac:dyDescent="0.25">
      <c r="A11" s="3">
        <v>43952</v>
      </c>
      <c r="B11" t="s">
        <v>166</v>
      </c>
      <c r="D11" s="1" t="s">
        <v>167</v>
      </c>
    </row>
    <row r="12" spans="1:5" x14ac:dyDescent="0.25">
      <c r="A12" s="3">
        <v>43952</v>
      </c>
      <c r="B12" t="s">
        <v>129</v>
      </c>
      <c r="D12" t="s">
        <v>168</v>
      </c>
    </row>
    <row r="13" spans="1:5" x14ac:dyDescent="0.25">
      <c r="A13" s="3">
        <v>43953</v>
      </c>
      <c r="B13" t="s">
        <v>129</v>
      </c>
      <c r="D13" t="s">
        <v>313</v>
      </c>
    </row>
    <row r="14" spans="1:5" x14ac:dyDescent="0.25">
      <c r="A14" s="3">
        <v>43955</v>
      </c>
      <c r="B14" t="s">
        <v>378</v>
      </c>
      <c r="D14" t="s">
        <v>379</v>
      </c>
      <c r="E14" t="s">
        <v>450</v>
      </c>
    </row>
    <row r="15" spans="1:5" x14ac:dyDescent="0.25">
      <c r="A15" s="3">
        <v>43955</v>
      </c>
      <c r="B15" t="s">
        <v>378</v>
      </c>
      <c r="D15" t="s">
        <v>380</v>
      </c>
      <c r="E15" t="s">
        <v>450</v>
      </c>
    </row>
    <row r="16" spans="1:5" x14ac:dyDescent="0.25">
      <c r="A16" s="3">
        <v>43955</v>
      </c>
      <c r="B16" t="s">
        <v>378</v>
      </c>
      <c r="D16" t="s">
        <v>381</v>
      </c>
      <c r="E16" t="s">
        <v>450</v>
      </c>
    </row>
    <row r="17" spans="1:5" x14ac:dyDescent="0.25">
      <c r="A17" s="3">
        <v>43955</v>
      </c>
      <c r="B17" t="s">
        <v>378</v>
      </c>
      <c r="D17" t="s">
        <v>382</v>
      </c>
    </row>
    <row r="18" spans="1:5" x14ac:dyDescent="0.25">
      <c r="A18" s="3">
        <v>43956</v>
      </c>
      <c r="B18" t="s">
        <v>166</v>
      </c>
      <c r="D18" t="s">
        <v>447</v>
      </c>
      <c r="E18" t="s">
        <v>450</v>
      </c>
    </row>
    <row r="19" spans="1:5" x14ac:dyDescent="0.25">
      <c r="A19" s="3">
        <v>43956</v>
      </c>
      <c r="B19" t="s">
        <v>378</v>
      </c>
      <c r="D19" t="s">
        <v>448</v>
      </c>
    </row>
    <row r="20" spans="1:5" x14ac:dyDescent="0.25">
      <c r="A20" s="3">
        <v>43956</v>
      </c>
      <c r="B20" t="s">
        <v>378</v>
      </c>
      <c r="D20" t="s">
        <v>451</v>
      </c>
      <c r="E20" t="s">
        <v>450</v>
      </c>
    </row>
    <row r="21" spans="1:5" x14ac:dyDescent="0.25">
      <c r="A21" s="3">
        <v>43956</v>
      </c>
      <c r="B21" t="s">
        <v>166</v>
      </c>
      <c r="D21" t="s">
        <v>452</v>
      </c>
    </row>
    <row r="22" spans="1:5" x14ac:dyDescent="0.25">
      <c r="A22" s="3">
        <v>43958</v>
      </c>
      <c r="B22" t="s">
        <v>378</v>
      </c>
      <c r="D22" t="s">
        <v>457</v>
      </c>
    </row>
    <row r="23" spans="1:5" x14ac:dyDescent="0.25">
      <c r="A23" s="3">
        <v>43958</v>
      </c>
      <c r="B23" t="s">
        <v>378</v>
      </c>
      <c r="C23" t="s">
        <v>459</v>
      </c>
      <c r="D23" t="s">
        <v>460</v>
      </c>
      <c r="E23" t="s">
        <v>450</v>
      </c>
    </row>
    <row r="24" spans="1:5" x14ac:dyDescent="0.25">
      <c r="A24" s="3">
        <v>43958</v>
      </c>
      <c r="B24" t="s">
        <v>378</v>
      </c>
      <c r="D24" t="s">
        <v>461</v>
      </c>
    </row>
    <row r="25" spans="1:5" x14ac:dyDescent="0.25">
      <c r="A25" s="3">
        <v>43958</v>
      </c>
      <c r="B25" t="s">
        <v>378</v>
      </c>
      <c r="D25" t="s">
        <v>462</v>
      </c>
    </row>
    <row r="26" spans="1:5" x14ac:dyDescent="0.25">
      <c r="A26" s="3">
        <v>43961</v>
      </c>
      <c r="B26" t="s">
        <v>378</v>
      </c>
      <c r="D26" t="s">
        <v>466</v>
      </c>
    </row>
    <row r="27" spans="1:5" x14ac:dyDescent="0.25">
      <c r="A27" s="3">
        <v>43961</v>
      </c>
      <c r="B27" t="s">
        <v>378</v>
      </c>
      <c r="D27" t="s">
        <v>467</v>
      </c>
    </row>
    <row r="28" spans="1:5" x14ac:dyDescent="0.25">
      <c r="A28" s="3">
        <v>43961</v>
      </c>
      <c r="B28" t="s">
        <v>378</v>
      </c>
      <c r="D28" t="s">
        <v>468</v>
      </c>
    </row>
    <row r="29" spans="1:5" x14ac:dyDescent="0.25">
      <c r="A29" s="3">
        <v>43961</v>
      </c>
      <c r="B29" t="s">
        <v>378</v>
      </c>
      <c r="C29" t="s">
        <v>469</v>
      </c>
      <c r="D29" t="s">
        <v>482</v>
      </c>
      <c r="E29" t="s">
        <v>450</v>
      </c>
    </row>
    <row r="30" spans="1:5" x14ac:dyDescent="0.25">
      <c r="A30" s="3">
        <v>43961</v>
      </c>
      <c r="B30" t="s">
        <v>378</v>
      </c>
      <c r="C30" t="s">
        <v>469</v>
      </c>
      <c r="D30" t="s">
        <v>477</v>
      </c>
      <c r="E30" t="s">
        <v>450</v>
      </c>
    </row>
    <row r="31" spans="1:5" x14ac:dyDescent="0.25">
      <c r="A31" s="3">
        <v>43961</v>
      </c>
      <c r="B31" t="s">
        <v>378</v>
      </c>
      <c r="C31" t="s">
        <v>469</v>
      </c>
      <c r="D31" t="s">
        <v>472</v>
      </c>
      <c r="E31" t="s">
        <v>450</v>
      </c>
    </row>
    <row r="32" spans="1:5" x14ac:dyDescent="0.25">
      <c r="A32" s="3">
        <v>43961</v>
      </c>
      <c r="B32" t="s">
        <v>378</v>
      </c>
      <c r="C32" t="s">
        <v>469</v>
      </c>
      <c r="D32" t="s">
        <v>486</v>
      </c>
      <c r="E32" t="s">
        <v>450</v>
      </c>
    </row>
    <row r="33" spans="1:5" x14ac:dyDescent="0.25">
      <c r="A33" s="3">
        <v>43961</v>
      </c>
      <c r="B33" t="s">
        <v>378</v>
      </c>
      <c r="C33" t="s">
        <v>469</v>
      </c>
      <c r="D33" t="s">
        <v>473</v>
      </c>
      <c r="E33" t="s">
        <v>450</v>
      </c>
    </row>
    <row r="34" spans="1:5" x14ac:dyDescent="0.25">
      <c r="A34" s="3">
        <v>43961</v>
      </c>
      <c r="B34" t="s">
        <v>378</v>
      </c>
      <c r="C34" t="s">
        <v>469</v>
      </c>
      <c r="D34" t="s">
        <v>471</v>
      </c>
    </row>
    <row r="35" spans="1:5" x14ac:dyDescent="0.25">
      <c r="A35" s="3">
        <v>43961</v>
      </c>
      <c r="B35" t="s">
        <v>378</v>
      </c>
      <c r="C35" t="s">
        <v>469</v>
      </c>
      <c r="D35" t="s">
        <v>476</v>
      </c>
      <c r="E35" t="s">
        <v>450</v>
      </c>
    </row>
    <row r="36" spans="1:5" x14ac:dyDescent="0.25">
      <c r="A36" s="3">
        <v>43961</v>
      </c>
      <c r="B36" t="s">
        <v>378</v>
      </c>
      <c r="C36" t="s">
        <v>469</v>
      </c>
      <c r="D36" t="s">
        <v>480</v>
      </c>
    </row>
    <row r="37" spans="1:5" x14ac:dyDescent="0.25">
      <c r="A37" s="3">
        <v>43961</v>
      </c>
      <c r="B37" t="s">
        <v>378</v>
      </c>
      <c r="C37" t="s">
        <v>469</v>
      </c>
      <c r="D37" t="s">
        <v>470</v>
      </c>
    </row>
    <row r="38" spans="1:5" x14ac:dyDescent="0.25">
      <c r="A38" s="3">
        <v>43961</v>
      </c>
      <c r="B38" t="s">
        <v>378</v>
      </c>
      <c r="C38" t="s">
        <v>469</v>
      </c>
      <c r="D38" t="s">
        <v>478</v>
      </c>
      <c r="E38" t="s">
        <v>450</v>
      </c>
    </row>
    <row r="39" spans="1:5" x14ac:dyDescent="0.25">
      <c r="A39" s="3">
        <v>43961</v>
      </c>
      <c r="B39" t="s">
        <v>378</v>
      </c>
      <c r="C39" t="s">
        <v>469</v>
      </c>
      <c r="D39" t="s">
        <v>512</v>
      </c>
      <c r="E39" t="s">
        <v>450</v>
      </c>
    </row>
    <row r="40" spans="1:5" x14ac:dyDescent="0.25">
      <c r="A40" s="3">
        <v>43961</v>
      </c>
      <c r="B40" t="s">
        <v>378</v>
      </c>
      <c r="C40" t="s">
        <v>469</v>
      </c>
      <c r="D40" t="s">
        <v>474</v>
      </c>
    </row>
    <row r="41" spans="1:5" x14ac:dyDescent="0.25">
      <c r="A41" s="3">
        <v>43961</v>
      </c>
      <c r="B41" t="s">
        <v>378</v>
      </c>
      <c r="C41" t="s">
        <v>469</v>
      </c>
      <c r="D41" t="s">
        <v>475</v>
      </c>
    </row>
    <row r="42" spans="1:5" x14ac:dyDescent="0.25">
      <c r="A42" s="3">
        <v>43961</v>
      </c>
      <c r="B42" t="s">
        <v>378</v>
      </c>
      <c r="C42" t="s">
        <v>469</v>
      </c>
      <c r="D42" t="s">
        <v>479</v>
      </c>
    </row>
    <row r="43" spans="1:5" x14ac:dyDescent="0.25">
      <c r="A43" s="3">
        <v>43961</v>
      </c>
      <c r="B43" t="s">
        <v>378</v>
      </c>
      <c r="D43" t="s">
        <v>481</v>
      </c>
    </row>
    <row r="44" spans="1:5" x14ac:dyDescent="0.25">
      <c r="A44" s="3">
        <v>43961</v>
      </c>
      <c r="B44" t="s">
        <v>378</v>
      </c>
      <c r="C44" t="s">
        <v>469</v>
      </c>
      <c r="D44" t="s">
        <v>483</v>
      </c>
    </row>
    <row r="45" spans="1:5" x14ac:dyDescent="0.25">
      <c r="A45" s="3">
        <v>43961</v>
      </c>
      <c r="B45" t="s">
        <v>378</v>
      </c>
      <c r="D45" t="s">
        <v>508</v>
      </c>
    </row>
    <row r="46" spans="1:5" x14ac:dyDescent="0.25">
      <c r="A46" s="3">
        <v>43961</v>
      </c>
      <c r="B46" t="s">
        <v>378</v>
      </c>
      <c r="C46" t="s">
        <v>469</v>
      </c>
      <c r="D46" t="s">
        <v>513</v>
      </c>
    </row>
    <row r="47" spans="1:5" x14ac:dyDescent="0.25">
      <c r="A47" s="3">
        <v>43961</v>
      </c>
      <c r="B47" t="s">
        <v>378</v>
      </c>
      <c r="C47" t="s">
        <v>469</v>
      </c>
      <c r="D47" t="s">
        <v>552</v>
      </c>
      <c r="E47" t="s">
        <v>450</v>
      </c>
    </row>
  </sheetData>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3A7A2-8D6F-4E35-8C13-A662192A5C6A}">
  <sheetPr codeName="Tabelle6"/>
  <dimension ref="A1:C10"/>
  <sheetViews>
    <sheetView workbookViewId="0">
      <selection activeCell="A11" sqref="A11"/>
    </sheetView>
  </sheetViews>
  <sheetFormatPr baseColWidth="10" defaultRowHeight="15" x14ac:dyDescent="0.25"/>
  <cols>
    <col min="1" max="1" width="16.28515625" customWidth="1"/>
    <col min="3" max="3" width="16.7109375" bestFit="1" customWidth="1"/>
  </cols>
  <sheetData>
    <row r="1" spans="1:3" x14ac:dyDescent="0.25">
      <c r="A1" t="s">
        <v>453</v>
      </c>
      <c r="C1" t="s">
        <v>153</v>
      </c>
    </row>
    <row r="2" spans="1:3" x14ac:dyDescent="0.25">
      <c r="A2" t="s">
        <v>6</v>
      </c>
      <c r="C2" t="s">
        <v>154</v>
      </c>
    </row>
    <row r="3" spans="1:3" x14ac:dyDescent="0.25">
      <c r="A3" t="s">
        <v>449</v>
      </c>
      <c r="C3" t="s">
        <v>456</v>
      </c>
    </row>
    <row r="4" spans="1:3" x14ac:dyDescent="0.25">
      <c r="A4" t="s">
        <v>272</v>
      </c>
    </row>
    <row r="5" spans="1:3" x14ac:dyDescent="0.25">
      <c r="A5" t="s">
        <v>4</v>
      </c>
    </row>
    <row r="6" spans="1:3" x14ac:dyDescent="0.25">
      <c r="A6" t="s">
        <v>277</v>
      </c>
    </row>
    <row r="7" spans="1:3" x14ac:dyDescent="0.25">
      <c r="A7" t="s">
        <v>271</v>
      </c>
    </row>
    <row r="8" spans="1:3" x14ac:dyDescent="0.25">
      <c r="A8" t="s">
        <v>454</v>
      </c>
    </row>
    <row r="9" spans="1:3" x14ac:dyDescent="0.25">
      <c r="A9" t="s">
        <v>455</v>
      </c>
    </row>
    <row r="10" spans="1:3" x14ac:dyDescent="0.25">
      <c r="A10" t="s">
        <v>558</v>
      </c>
    </row>
  </sheetData>
  <pageMargins left="0.7" right="0.7" top="0.78740157499999996" bottom="0.78740157499999996"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vt:i4>
      </vt:variant>
    </vt:vector>
  </HeadingPairs>
  <TitlesOfParts>
    <vt:vector size="13" baseType="lpstr">
      <vt:lpstr>Overview</vt:lpstr>
      <vt:lpstr>Tables</vt:lpstr>
      <vt:lpstr>Fields</vt:lpstr>
      <vt:lpstr>Types</vt:lpstr>
      <vt:lpstr>Task Log</vt:lpstr>
      <vt:lpstr>Lists</vt:lpstr>
      <vt:lpstr>ContextBase</vt:lpstr>
      <vt:lpstr>DBContext</vt:lpstr>
      <vt:lpstr>FolderBusinessModel</vt:lpstr>
      <vt:lpstr>FolderEntityModel</vt:lpstr>
      <vt:lpstr>FolderScripts</vt:lpstr>
      <vt:lpstr>ListSQLTypes</vt:lpstr>
      <vt:lpstr>Namespace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Thorsten Hornung</dc:creator>
  <cp:lastModifiedBy>Thorsten Hornung</cp:lastModifiedBy>
  <dcterms:created xsi:type="dcterms:W3CDTF">2020-04-28T16:11:43Z</dcterms:created>
  <dcterms:modified xsi:type="dcterms:W3CDTF">2020-05-14T03:21:59Z</dcterms:modified>
</cp:coreProperties>
</file>