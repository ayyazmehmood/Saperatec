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DieseArbeitsmappe" defaultThemeVersion="166925"/>
  <mc:AlternateContent xmlns:mc="http://schemas.openxmlformats.org/markup-compatibility/2006">
    <mc:Choice Requires="x15">
      <x15ac:absPath xmlns:x15ac="http://schemas.microsoft.com/office/spreadsheetml/2010/11/ac" url="C:\Users\thors\source\repos\Verum\VerumDatabase\DataDictionary\"/>
    </mc:Choice>
  </mc:AlternateContent>
  <xr:revisionPtr revIDLastSave="0" documentId="13_ncr:1_{CE811781-7A5D-492A-9795-AAC1143CEBA3}" xr6:coauthVersionLast="45" xr6:coauthVersionMax="45" xr10:uidLastSave="{00000000-0000-0000-0000-000000000000}"/>
  <bookViews>
    <workbookView xWindow="1050" yWindow="-120" windowWidth="27870" windowHeight="16440" activeTab="2" xr2:uid="{44421DB1-5133-4875-B38D-8CA24476C50F}"/>
  </bookViews>
  <sheets>
    <sheet name="Overview" sheetId="4" r:id="rId1"/>
    <sheet name="Tables" sheetId="2" r:id="rId2"/>
    <sheet name="Fields" sheetId="1" r:id="rId3"/>
    <sheet name="Types" sheetId="6" r:id="rId4"/>
    <sheet name="Tasks" sheetId="3" r:id="rId5"/>
    <sheet name="Lists" sheetId="5" r:id="rId6"/>
  </sheets>
  <functionGroups builtInGroupCount="19"/>
  <definedNames>
    <definedName name="ContextBase">Overview!$C$18</definedName>
    <definedName name="DBContext">Overview!$C$17</definedName>
    <definedName name="FolderBusinessModel">Overview!$C$14</definedName>
    <definedName name="FolderEntityModel">Overview!$C$13</definedName>
    <definedName name="FolderScripts">Overview!$C$12</definedName>
    <definedName name="ListSQLTypes">SQLFieldTypes[]</definedName>
    <definedName name="Namespace">Overview!$C$19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3" i="1" l="1"/>
  <c r="M52" i="1"/>
  <c r="M40" i="1" l="1"/>
  <c r="M41" i="1"/>
  <c r="M42" i="1"/>
  <c r="N38" i="1"/>
  <c r="M38" i="1"/>
  <c r="Q56" i="1"/>
  <c r="N56" i="1"/>
  <c r="M56" i="1"/>
  <c r="Q55" i="1"/>
  <c r="N55" i="1"/>
  <c r="M55" i="1"/>
  <c r="M61" i="1"/>
  <c r="M51" i="1" l="1"/>
  <c r="M58" i="1"/>
  <c r="M57" i="1"/>
  <c r="M59" i="1"/>
  <c r="M60" i="1"/>
  <c r="M23" i="1" l="1"/>
  <c r="M22" i="1"/>
  <c r="D55" i="6" l="1"/>
  <c r="D54" i="6"/>
  <c r="D53" i="6"/>
  <c r="D52" i="6"/>
  <c r="D49" i="6" l="1"/>
  <c r="D50" i="6"/>
  <c r="D51" i="6"/>
  <c r="D48" i="6"/>
  <c r="D47" i="6"/>
  <c r="D46" i="6"/>
  <c r="M89" i="1"/>
  <c r="M90" i="1"/>
  <c r="M91" i="1"/>
  <c r="M92" i="1"/>
  <c r="M93" i="1"/>
  <c r="M94" i="1"/>
  <c r="M95" i="1"/>
  <c r="M96" i="1"/>
  <c r="M97" i="1"/>
  <c r="M98" i="1"/>
  <c r="M99" i="1"/>
  <c r="M100" i="1"/>
  <c r="M101" i="1"/>
  <c r="D9" i="2"/>
  <c r="D8" i="2"/>
  <c r="H9" i="2"/>
  <c r="I9" i="2"/>
  <c r="H8" i="2"/>
  <c r="I8" i="2"/>
  <c r="M270" i="1"/>
  <c r="M271" i="1"/>
  <c r="M222" i="1" l="1"/>
  <c r="M221" i="1"/>
  <c r="M220" i="1"/>
  <c r="M219" i="1"/>
  <c r="M29" i="1" l="1"/>
  <c r="M16" i="1" l="1"/>
  <c r="M13" i="1"/>
  <c r="M14" i="1"/>
  <c r="M15" i="1"/>
  <c r="M24" i="1" l="1"/>
  <c r="M68" i="1"/>
  <c r="M28" i="1"/>
  <c r="M27" i="1"/>
  <c r="M26" i="1"/>
  <c r="M202" i="1" l="1"/>
  <c r="M178" i="1" l="1"/>
  <c r="M208" i="1"/>
  <c r="M215" i="1"/>
  <c r="M130" i="1"/>
  <c r="N130" i="1"/>
  <c r="Q130" i="1"/>
  <c r="M203" i="1" l="1"/>
  <c r="N173" i="1" l="1"/>
  <c r="D45" i="6"/>
  <c r="D44" i="6"/>
  <c r="D43" i="6"/>
  <c r="M204" i="1"/>
  <c r="Q199" i="1"/>
  <c r="N199" i="1"/>
  <c r="M199" i="1"/>
  <c r="M201" i="1"/>
  <c r="M200" i="1"/>
  <c r="M198" i="1"/>
  <c r="M197" i="1"/>
  <c r="N196" i="1"/>
  <c r="M196" i="1"/>
  <c r="M207" i="1"/>
  <c r="M213" i="1"/>
  <c r="M206" i="1"/>
  <c r="N205" i="1"/>
  <c r="M205" i="1"/>
  <c r="H30" i="2"/>
  <c r="I30" i="2"/>
  <c r="I28" i="2"/>
  <c r="H28" i="2"/>
  <c r="N209" i="1"/>
  <c r="M209" i="1"/>
  <c r="N216" i="1"/>
  <c r="M216" i="1"/>
  <c r="Q211" i="1"/>
  <c r="N211" i="1"/>
  <c r="M211" i="1"/>
  <c r="M212" i="1"/>
  <c r="M214" i="1"/>
  <c r="M230" i="1"/>
  <c r="M229" i="1"/>
  <c r="M228" i="1"/>
  <c r="M227" i="1"/>
  <c r="M226" i="1"/>
  <c r="M225" i="1"/>
  <c r="M224" i="1"/>
  <c r="M223" i="1"/>
  <c r="M218" i="1"/>
  <c r="M217" i="1"/>
  <c r="M210" i="1"/>
  <c r="Q173" i="1"/>
  <c r="Q172" i="1"/>
  <c r="N172" i="1"/>
  <c r="M175" i="1"/>
  <c r="M174" i="1"/>
  <c r="M173" i="1"/>
  <c r="M172" i="1"/>
  <c r="Q171" i="1"/>
  <c r="N171" i="1"/>
  <c r="M171" i="1"/>
  <c r="Q170" i="1"/>
  <c r="N170" i="1"/>
  <c r="M170" i="1"/>
  <c r="H29" i="2"/>
  <c r="I29" i="2"/>
  <c r="H27" i="2"/>
  <c r="I27" i="2"/>
  <c r="H34" i="2"/>
  <c r="I34" i="2"/>
  <c r="D42" i="6" l="1"/>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D3" i="6"/>
  <c r="M189" i="1" l="1"/>
  <c r="M188" i="1"/>
  <c r="M149" i="1"/>
  <c r="M148" i="1"/>
  <c r="M147" i="1"/>
  <c r="M146" i="1"/>
  <c r="M145" i="1"/>
  <c r="M186" i="1"/>
  <c r="M185" i="1"/>
  <c r="M184" i="1"/>
  <c r="M183" i="1"/>
  <c r="M182" i="1"/>
  <c r="M181" i="1"/>
  <c r="M180" i="1"/>
  <c r="M179" i="1"/>
  <c r="M187" i="1"/>
  <c r="M144" i="1"/>
  <c r="M143" i="1"/>
  <c r="M142" i="1"/>
  <c r="M139" i="1"/>
  <c r="M141" i="1"/>
  <c r="M140" i="1"/>
  <c r="M138" i="1"/>
  <c r="M137" i="1"/>
  <c r="N189" i="1"/>
  <c r="N188" i="1"/>
  <c r="Q149" i="1"/>
  <c r="N149" i="1"/>
  <c r="N148" i="1"/>
  <c r="N147" i="1"/>
  <c r="N146" i="1"/>
  <c r="N145" i="1"/>
  <c r="N186" i="1"/>
  <c r="N185" i="1"/>
  <c r="N184" i="1"/>
  <c r="N183" i="1"/>
  <c r="N182" i="1"/>
  <c r="N181" i="1"/>
  <c r="N180" i="1"/>
  <c r="N179" i="1"/>
  <c r="Q187" i="1"/>
  <c r="N187" i="1"/>
  <c r="Q144" i="1"/>
  <c r="N144" i="1"/>
  <c r="Q143" i="1"/>
  <c r="N143" i="1"/>
  <c r="Q142" i="1"/>
  <c r="N142" i="1"/>
  <c r="Q139" i="1"/>
  <c r="N139" i="1"/>
  <c r="N141" i="1"/>
  <c r="Q140" i="1"/>
  <c r="N140" i="1"/>
  <c r="Q138" i="1"/>
  <c r="N138" i="1"/>
  <c r="Q137" i="1"/>
  <c r="N137" i="1"/>
  <c r="I33" i="2"/>
  <c r="H33" i="2"/>
  <c r="M118" i="1" l="1"/>
  <c r="M119" i="1"/>
  <c r="M120" i="1"/>
  <c r="M121" i="1"/>
  <c r="M122" i="1"/>
  <c r="M123" i="1"/>
  <c r="M124" i="1"/>
  <c r="M74" i="1" l="1"/>
  <c r="M72" i="1"/>
  <c r="M194" i="1"/>
  <c r="M195" i="1"/>
  <c r="N156" i="1" l="1"/>
  <c r="M156" i="1"/>
  <c r="M117" i="1" l="1"/>
  <c r="Q155" i="1"/>
  <c r="N155" i="1"/>
  <c r="M155" i="1"/>
  <c r="M269" i="1" l="1"/>
  <c r="M259" i="1"/>
  <c r="M258" i="1"/>
  <c r="H7" i="2"/>
  <c r="I7" i="2"/>
  <c r="M268" i="1"/>
  <c r="M267" i="1"/>
  <c r="M266" i="1"/>
  <c r="M265" i="1"/>
  <c r="H6" i="2"/>
  <c r="I6" i="2"/>
  <c r="M80" i="1" l="1"/>
  <c r="M79" i="1"/>
  <c r="N79" i="1"/>
  <c r="Q79" i="1"/>
  <c r="Q77" i="1"/>
  <c r="N77" i="1"/>
  <c r="M77" i="1"/>
  <c r="Q83" i="1" l="1"/>
  <c r="N83" i="1"/>
  <c r="M83" i="1"/>
  <c r="Q169" i="1"/>
  <c r="N169" i="1"/>
  <c r="M169" i="1"/>
  <c r="M279" i="1" l="1"/>
  <c r="M275" i="1"/>
  <c r="M260" i="1" l="1"/>
  <c r="M263" i="1" l="1"/>
  <c r="N261" i="1"/>
  <c r="M261" i="1"/>
  <c r="M262" i="1"/>
  <c r="H4" i="2"/>
  <c r="I4" i="2"/>
  <c r="N161" i="1" l="1"/>
  <c r="N235" i="1"/>
  <c r="M235" i="1"/>
  <c r="N234" i="1"/>
  <c r="M234" i="1"/>
  <c r="N233" i="1"/>
  <c r="M233" i="1"/>
  <c r="N232" i="1"/>
  <c r="M232" i="1"/>
  <c r="N231" i="1"/>
  <c r="M231" i="1"/>
  <c r="D2" i="6"/>
  <c r="H22" i="2"/>
  <c r="I22" i="2"/>
  <c r="M116" i="1"/>
  <c r="H26" i="2" l="1"/>
  <c r="I26" i="2"/>
  <c r="N282" i="1" l="1"/>
  <c r="N281" i="1"/>
  <c r="N280" i="1"/>
  <c r="N278" i="1"/>
  <c r="N277" i="1"/>
  <c r="N276" i="1"/>
  <c r="N274" i="1"/>
  <c r="N273" i="1"/>
  <c r="N272" i="1"/>
  <c r="N257" i="1"/>
  <c r="N256" i="1"/>
  <c r="N255" i="1"/>
  <c r="N254" i="1"/>
  <c r="N253" i="1"/>
  <c r="N252" i="1"/>
  <c r="N251" i="1"/>
  <c r="N250" i="1"/>
  <c r="N249" i="1"/>
  <c r="N248" i="1"/>
  <c r="N247" i="1"/>
  <c r="N246" i="1"/>
  <c r="N245" i="1"/>
  <c r="N244" i="1"/>
  <c r="N243" i="1"/>
  <c r="N242" i="1"/>
  <c r="N241" i="1"/>
  <c r="N240" i="1"/>
  <c r="N239" i="1"/>
  <c r="N238" i="1"/>
  <c r="N237" i="1"/>
  <c r="N236" i="1"/>
  <c r="N193" i="1"/>
  <c r="N192" i="1"/>
  <c r="N264" i="1"/>
  <c r="N81" i="1"/>
  <c r="N78" i="1"/>
  <c r="N191" i="1"/>
  <c r="N190" i="1"/>
  <c r="N177" i="1"/>
  <c r="N176" i="1"/>
  <c r="N136" i="1"/>
  <c r="N135" i="1"/>
  <c r="N134" i="1"/>
  <c r="N133" i="1"/>
  <c r="N132" i="1"/>
  <c r="N131" i="1"/>
  <c r="N129" i="1"/>
  <c r="N128" i="1"/>
  <c r="N168" i="1"/>
  <c r="N167" i="1"/>
  <c r="N166" i="1"/>
  <c r="N165" i="1"/>
  <c r="N164" i="1"/>
  <c r="N163" i="1"/>
  <c r="N162" i="1"/>
  <c r="N160" i="1"/>
  <c r="N159" i="1"/>
  <c r="N158" i="1"/>
  <c r="N157" i="1"/>
  <c r="N154" i="1"/>
  <c r="N153" i="1"/>
  <c r="N152" i="1"/>
  <c r="N151" i="1"/>
  <c r="N150" i="1"/>
  <c r="N127" i="1"/>
  <c r="N126" i="1"/>
  <c r="N125" i="1"/>
  <c r="N115" i="1"/>
  <c r="N114" i="1"/>
  <c r="N113" i="1"/>
  <c r="N112" i="1"/>
  <c r="N111" i="1"/>
  <c r="N109" i="1"/>
  <c r="N108" i="1"/>
  <c r="N107" i="1"/>
  <c r="N106" i="1"/>
  <c r="N105" i="1"/>
  <c r="N104" i="1"/>
  <c r="N103" i="1"/>
  <c r="N102" i="1"/>
  <c r="N88" i="1"/>
  <c r="N87" i="1"/>
  <c r="N86" i="1"/>
  <c r="N85" i="1"/>
  <c r="N84" i="1"/>
  <c r="N82" i="1"/>
  <c r="N76" i="1"/>
  <c r="N75" i="1"/>
  <c r="N73" i="1"/>
  <c r="N71" i="1"/>
  <c r="N70" i="1"/>
  <c r="N69" i="1"/>
  <c r="N67" i="1"/>
  <c r="N66" i="1"/>
  <c r="N65" i="1"/>
  <c r="N64" i="1"/>
  <c r="N63" i="1"/>
  <c r="N62" i="1"/>
  <c r="N54" i="1"/>
  <c r="N50" i="1"/>
  <c r="N49" i="1"/>
  <c r="N48" i="1"/>
  <c r="N47" i="1"/>
  <c r="N46" i="1"/>
  <c r="N45" i="1"/>
  <c r="N44" i="1"/>
  <c r="N43" i="1"/>
  <c r="N39" i="1"/>
  <c r="N37" i="1"/>
  <c r="N36" i="1"/>
  <c r="N35" i="1"/>
  <c r="N34" i="1"/>
  <c r="N33" i="1"/>
  <c r="N32" i="1"/>
  <c r="N31" i="1"/>
  <c r="N30" i="1"/>
  <c r="N25" i="1"/>
  <c r="N21" i="1"/>
  <c r="N20" i="1"/>
  <c r="N19" i="1"/>
  <c r="N18" i="1"/>
  <c r="N17" i="1"/>
  <c r="N12" i="1"/>
  <c r="N11" i="1"/>
  <c r="N10" i="1"/>
  <c r="N9" i="1"/>
  <c r="N8" i="1"/>
  <c r="N7" i="1"/>
  <c r="N6" i="1"/>
  <c r="N5" i="1"/>
  <c r="N4" i="1"/>
  <c r="N3" i="1"/>
  <c r="N2" i="1"/>
  <c r="M282" i="1" l="1"/>
  <c r="M281" i="1"/>
  <c r="M280" i="1"/>
  <c r="M278" i="1"/>
  <c r="M277" i="1"/>
  <c r="M276" i="1"/>
  <c r="M274" i="1"/>
  <c r="M273" i="1"/>
  <c r="M272" i="1"/>
  <c r="M257" i="1"/>
  <c r="M256" i="1"/>
  <c r="M255" i="1"/>
  <c r="M254" i="1"/>
  <c r="M253" i="1"/>
  <c r="M252" i="1"/>
  <c r="M251" i="1"/>
  <c r="M250" i="1"/>
  <c r="M249" i="1"/>
  <c r="M248" i="1"/>
  <c r="M247" i="1"/>
  <c r="M246" i="1"/>
  <c r="M245" i="1"/>
  <c r="M244" i="1"/>
  <c r="M243" i="1"/>
  <c r="M242" i="1"/>
  <c r="M241" i="1"/>
  <c r="M240" i="1"/>
  <c r="M239" i="1"/>
  <c r="M238" i="1"/>
  <c r="M237" i="1"/>
  <c r="M236" i="1"/>
  <c r="M193" i="1"/>
  <c r="M192" i="1"/>
  <c r="M264" i="1"/>
  <c r="M81" i="1"/>
  <c r="M78" i="1"/>
  <c r="M191" i="1"/>
  <c r="M190" i="1"/>
  <c r="M177" i="1"/>
  <c r="M176" i="1"/>
  <c r="M136" i="1"/>
  <c r="M135" i="1"/>
  <c r="M134" i="1"/>
  <c r="M133" i="1"/>
  <c r="M132" i="1"/>
  <c r="M131" i="1"/>
  <c r="M129" i="1"/>
  <c r="M128" i="1"/>
  <c r="M168" i="1"/>
  <c r="M167" i="1"/>
  <c r="M166" i="1"/>
  <c r="M165" i="1"/>
  <c r="M164" i="1"/>
  <c r="M163" i="1"/>
  <c r="M162" i="1"/>
  <c r="M161" i="1"/>
  <c r="M160" i="1"/>
  <c r="M159" i="1"/>
  <c r="M158" i="1"/>
  <c r="M157" i="1"/>
  <c r="M154" i="1"/>
  <c r="M153" i="1"/>
  <c r="M152" i="1"/>
  <c r="M151" i="1"/>
  <c r="M150" i="1"/>
  <c r="M127" i="1"/>
  <c r="M126" i="1"/>
  <c r="M125" i="1"/>
  <c r="M115" i="1"/>
  <c r="M114" i="1"/>
  <c r="M113" i="1"/>
  <c r="M112" i="1"/>
  <c r="M111" i="1"/>
  <c r="M109" i="1"/>
  <c r="M108" i="1"/>
  <c r="M107" i="1"/>
  <c r="M106" i="1"/>
  <c r="M105" i="1"/>
  <c r="M104" i="1"/>
  <c r="M103" i="1"/>
  <c r="M102" i="1"/>
  <c r="M88" i="1"/>
  <c r="M87" i="1"/>
  <c r="M86" i="1"/>
  <c r="M85" i="1"/>
  <c r="M84" i="1"/>
  <c r="M82" i="1"/>
  <c r="M76" i="1"/>
  <c r="M75" i="1"/>
  <c r="M73" i="1"/>
  <c r="M71" i="1"/>
  <c r="M70" i="1"/>
  <c r="M69" i="1"/>
  <c r="M67" i="1"/>
  <c r="M66" i="1"/>
  <c r="M65" i="1"/>
  <c r="M64" i="1"/>
  <c r="M63" i="1"/>
  <c r="M62" i="1"/>
  <c r="M54" i="1"/>
  <c r="M50" i="1"/>
  <c r="M49" i="1"/>
  <c r="M48" i="1"/>
  <c r="M47" i="1"/>
  <c r="M46" i="1"/>
  <c r="M45" i="1"/>
  <c r="M44" i="1"/>
  <c r="M43" i="1"/>
  <c r="M39" i="1"/>
  <c r="M37" i="1"/>
  <c r="M36" i="1"/>
  <c r="M35" i="1"/>
  <c r="M34" i="1"/>
  <c r="M33" i="1"/>
  <c r="M32" i="1"/>
  <c r="M31" i="1"/>
  <c r="M30" i="1"/>
  <c r="M25" i="1"/>
  <c r="M21" i="1"/>
  <c r="M20" i="1"/>
  <c r="M19" i="1"/>
  <c r="M18" i="1"/>
  <c r="M17" i="1"/>
  <c r="M12" i="1"/>
  <c r="M11" i="1"/>
  <c r="M10" i="1"/>
  <c r="M9" i="1"/>
  <c r="M8" i="1"/>
  <c r="M7" i="1"/>
  <c r="M6" i="1"/>
  <c r="M5" i="1"/>
  <c r="M4" i="1"/>
  <c r="M3" i="1"/>
  <c r="M2" i="1"/>
  <c r="H3" i="2" l="1"/>
  <c r="H2" i="2"/>
  <c r="H5" i="2"/>
  <c r="H12" i="2"/>
  <c r="H11" i="2"/>
  <c r="H10" i="2"/>
  <c r="H13" i="2"/>
  <c r="H14" i="2"/>
  <c r="H15" i="2"/>
  <c r="H16" i="2"/>
  <c r="H17" i="2"/>
  <c r="H18" i="2"/>
  <c r="H19" i="2"/>
  <c r="H21" i="2"/>
  <c r="H20" i="2"/>
  <c r="H25" i="2"/>
  <c r="H31" i="2"/>
  <c r="H23" i="2"/>
  <c r="H24" i="2"/>
  <c r="H35" i="2"/>
  <c r="H32" i="2"/>
  <c r="H36" i="2"/>
  <c r="H37" i="2"/>
  <c r="I3" i="2"/>
  <c r="I2" i="2"/>
  <c r="I5" i="2"/>
  <c r="I12" i="2"/>
  <c r="I11" i="2"/>
  <c r="I10" i="2"/>
  <c r="I13" i="2"/>
  <c r="I14" i="2"/>
  <c r="I15" i="2"/>
  <c r="I16" i="2"/>
  <c r="I17" i="2"/>
  <c r="I18" i="2"/>
  <c r="I19" i="2"/>
  <c r="I21" i="2"/>
  <c r="I20" i="2"/>
  <c r="I25" i="2"/>
  <c r="I31" i="2"/>
  <c r="I23" i="2"/>
  <c r="I24" i="2"/>
  <c r="I35" i="2"/>
  <c r="I32" i="2"/>
  <c r="I36" i="2"/>
  <c r="I37" i="2"/>
  <c r="Q48" i="1" l="1"/>
  <c r="Q264" i="1" l="1"/>
  <c r="Q78" i="1"/>
  <c r="Q134" i="1"/>
  <c r="Q274" i="1"/>
  <c r="Q273" i="1"/>
  <c r="Q245" i="1"/>
  <c r="Q244" i="1"/>
  <c r="Q192" i="1"/>
  <c r="Q177" i="1"/>
  <c r="Q176" i="1"/>
  <c r="Q132" i="1"/>
  <c r="Q129" i="1"/>
  <c r="Q128" i="1"/>
  <c r="Q163" i="1"/>
  <c r="Q162" i="1"/>
  <c r="Q161" i="1"/>
  <c r="Q160" i="1"/>
  <c r="Q158" i="1"/>
  <c r="Q157" i="1"/>
  <c r="Q154" i="1"/>
  <c r="Q152" i="1"/>
  <c r="Q151" i="1"/>
  <c r="Q150" i="1"/>
  <c r="Q125" i="1"/>
  <c r="Q112" i="1"/>
  <c r="Q111" i="1"/>
  <c r="Q110" i="1"/>
  <c r="Q109" i="1"/>
  <c r="Q103" i="1"/>
  <c r="Q102" i="1"/>
  <c r="Q84" i="1"/>
  <c r="Q82" i="1"/>
  <c r="Q65" i="1"/>
  <c r="Q54" i="1"/>
  <c r="Q50" i="1"/>
  <c r="Q43" i="1"/>
  <c r="Q37" i="1"/>
  <c r="Q36" i="1"/>
  <c r="Q35" i="1"/>
  <c r="Q34" i="1"/>
  <c r="Q30" i="1"/>
  <c r="Q17" i="1"/>
  <c r="Q10" i="1"/>
  <c r="Q4" i="1"/>
  <c r="Q3" i="1"/>
</calcChain>
</file>

<file path=xl/sharedStrings.xml><?xml version="1.0" encoding="utf-8"?>
<sst xmlns="http://schemas.openxmlformats.org/spreadsheetml/2006/main" count="2527" uniqueCount="820">
  <si>
    <t>Object Name</t>
  </si>
  <si>
    <t>Column Name</t>
  </si>
  <si>
    <t>Nullable</t>
  </si>
  <si>
    <t>Description</t>
  </si>
  <si>
    <t>int</t>
  </si>
  <si>
    <t>idClient</t>
  </si>
  <si>
    <t>bit</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</si>
  <si>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</si>
  <si>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</si>
  <si>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</si>
  <si>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</si>
  <si>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</si>
  <si>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</si>
  <si>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</si>
  <si>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</si>
  <si>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</si>
  <si>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</si>
  <si>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</si>
  <si>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</si>
  <si>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</si>
  <si>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</si>
  <si>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</si>
  <si>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</si>
  <si>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Master Data</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</si>
  <si>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</si>
  <si>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</si>
  <si>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</si>
  <si>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</si>
  <si>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</si>
  <si>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</si>
  <si>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</si>
  <si>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</si>
  <si>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</si>
  <si>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</si>
  <si>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</si>
  <si>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</si>
  <si>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</si>
  <si>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</si>
  <si>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</si>
  <si>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</si>
  <si>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</si>
  <si>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</si>
  <si>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</si>
  <si>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</si>
  <si>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</si>
  <si>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</si>
  <si>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</si>
  <si>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</si>
  <si>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Triggers</t>
  </si>
  <si>
    <t>No record change or deletion</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</si>
  <si>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</si>
  <si>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</si>
  <si>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</si>
  <si>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</si>
  <si>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</si>
  <si>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</si>
  <si>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</si>
  <si>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</si>
  <si>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</si>
  <si>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</si>
  <si>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</si>
  <si>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Assumptions</t>
  </si>
  <si>
    <t>Revisions</t>
  </si>
  <si>
    <t>tPlanAllocationSchedule</t>
  </si>
  <si>
    <t>tVATRule</t>
  </si>
  <si>
    <t>tCurrency</t>
  </si>
  <si>
    <t>tPlanParameter</t>
  </si>
  <si>
    <t>FlagProfitCenter</t>
  </si>
  <si>
    <t>Price</t>
  </si>
  <si>
    <t>ContingencyRate</t>
  </si>
  <si>
    <t>FlagDateOffset</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</si>
  <si>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</si>
  <si>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</si>
  <si>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</si>
  <si>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</si>
  <si>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</si>
  <si>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</si>
  <si>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</si>
  <si>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</si>
  <si>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</si>
  <si>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</si>
  <si>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</si>
  <si>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</si>
  <si>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</si>
  <si>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</si>
  <si>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</si>
  <si>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</si>
  <si>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 reference date to the price (in absolute date). Inflation is only applied from price date</t>
  </si>
  <si>
    <t>Comment field for documentation of planning assumptions. Is propagated from plan version to plan version</t>
  </si>
  <si>
    <t>Comment field for documentation of planning revisions from plan version to plan version</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</si>
  <si>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</si>
  <si>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</si>
  <si>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</si>
  <si>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</si>
  <si>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</si>
  <si>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</si>
  <si>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</si>
  <si>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</si>
  <si>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</si>
  <si>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Title of the schedule</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</si>
  <si>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</si>
  <si>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</si>
  <si>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</si>
  <si>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</si>
  <si>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</si>
  <si>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</si>
  <si>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</si>
  <si>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</si>
  <si>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Title of the parameter</t>
  </si>
  <si>
    <t>Possible comment for the parameter (like assumptions and source information)</t>
  </si>
  <si>
    <t>Reference to base currency of the client. All planning records are calculated based on this currency.</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</si>
  <si>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</si>
  <si>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</si>
  <si>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</si>
  <si>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</si>
  <si>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</si>
  <si>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</si>
  <si>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</si>
  <si>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</si>
  <si>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</si>
  <si>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</si>
  <si>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</si>
  <si>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</si>
  <si>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Order</t>
  </si>
  <si>
    <t>Byte</t>
  </si>
  <si>
    <t>ValueNum</t>
  </si>
  <si>
    <t>ValueDate</t>
  </si>
  <si>
    <t>ValueText</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</si>
  <si>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</si>
  <si>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</si>
  <si>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</si>
  <si>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</si>
  <si>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</si>
  <si>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</si>
  <si>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</si>
  <si>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0;"PlanNew";
1;"PlanImplemented";
2;"PlanUpdated";
3;"PlanApplied".</t>
  </si>
  <si>
    <t>idParPrice1</t>
  </si>
  <si>
    <t>idParPrice2</t>
  </si>
  <si>
    <t>Defines a type of booking repetition</t>
  </si>
  <si>
    <t>TypeRepeat</t>
  </si>
  <si>
    <t>Defines a parameter value for various applications depending on type. PriceFactor is used for item price calculation, TriggerDate is used to trigger the start date of planning records for an item, InflationRate is used to calculate price increases</t>
  </si>
  <si>
    <t>Links plan element to specific item in a plan</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</si>
  <si>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</si>
  <si>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</si>
  <si>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</si>
  <si>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</si>
  <si>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tAccount</t>
  </si>
  <si>
    <t>Application</t>
  </si>
  <si>
    <t>Client</t>
  </si>
  <si>
    <t>Deletion of a plan needs to trigger the programmatic deletion of related plan variants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</si>
  <si>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</si>
  <si>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</si>
  <si>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</si>
  <si>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</si>
  <si>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</si>
  <si>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</si>
  <si>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</si>
  <si>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</si>
  <si>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</si>
  <si>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</si>
  <si>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</si>
  <si>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</si>
  <si>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</si>
  <si>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</si>
  <si>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</si>
  <si>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</si>
  <si>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tAccountGroup</t>
  </si>
  <si>
    <t>Enables grouping of accounts for reporting purposes</t>
  </si>
  <si>
    <t>idAccountGroup</t>
  </si>
  <si>
    <t>idAccountReporting</t>
  </si>
  <si>
    <t>Format</t>
  </si>
  <si>
    <t>00000</t>
  </si>
  <si>
    <t>TypeAccount</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</si>
  <si>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</si>
  <si>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</si>
  <si>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</si>
  <si>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</si>
  <si>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</si>
  <si>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</si>
  <si>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Specifies the type of account for P&amp;L and balance sheet</t>
  </si>
  <si>
    <t>Title in local language</t>
  </si>
  <si>
    <t>Title in english</t>
  </si>
  <si>
    <t>Specifies planning functions for mapping accounts to specific functions</t>
  </si>
  <si>
    <t>tPlanAccountFunction</t>
  </si>
  <si>
    <t>Specifies assigned account for client</t>
  </si>
  <si>
    <t>NumberOfPeriods</t>
  </si>
  <si>
    <t>PeriodInMonths</t>
  </si>
  <si>
    <t>idAccountDepreciation</t>
  </si>
  <si>
    <t>0 - Linear</t>
  </si>
  <si>
    <t>For later implementation of alternative depreciation schemes. Currently only linear depreciation used</t>
  </si>
  <si>
    <t>idDepreciationRule</t>
  </si>
  <si>
    <t>DepreciationDelay</t>
  </si>
  <si>
    <t>idAccountMain</t>
  </si>
  <si>
    <t>Final booking account for item (before depreciation)</t>
  </si>
  <si>
    <t>idDepreciationTrigger</t>
  </si>
  <si>
    <t>idAccountDebit</t>
  </si>
  <si>
    <t>idAccountCredit</t>
  </si>
  <si>
    <t>idBookingRun</t>
  </si>
  <si>
    <t>BookingSequenceNum</t>
  </si>
  <si>
    <t>0 - Actual
1 - Baseline
2 - Plan</t>
  </si>
  <si>
    <t>idPlanElementInstance</t>
  </si>
  <si>
    <t>Amount</t>
  </si>
  <si>
    <t>StartOfBusinessYear</t>
  </si>
  <si>
    <t>Start of business year in calendar month - defaults to 1 (Jan 1st)</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</si>
  <si>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</si>
  <si>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</si>
  <si>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</si>
  <si>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</si>
  <si>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</si>
  <si>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</si>
  <si>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</si>
  <si>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</si>
  <si>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</si>
  <si>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</si>
  <si>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</si>
  <si>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Booking amount</t>
  </si>
  <si>
    <t>Reference for booking document</t>
  </si>
  <si>
    <t>Free comment for booking record. Can be changed for controlling purpose as needed</t>
  </si>
  <si>
    <t>idBookingRecord</t>
  </si>
  <si>
    <t>AmountDebit</t>
  </si>
  <si>
    <t>AmountCredit</t>
  </si>
  <si>
    <t>Link to booking record</t>
  </si>
  <si>
    <t>Account for the transaction</t>
  </si>
  <si>
    <t>Debit amount</t>
  </si>
  <si>
    <t>Credit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</si>
  <si>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</si>
  <si>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</si>
  <si>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</si>
  <si>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</si>
  <si>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</si>
  <si>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</si>
  <si>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</si>
  <si>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</si>
  <si>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</si>
  <si>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</si>
  <si>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</si>
  <si>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</si>
  <si>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</si>
  <si>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Data Type SQL Server</t>
  </si>
  <si>
    <t>CREATE</t>
  </si>
  <si>
    <t>Action</t>
  </si>
  <si>
    <t>max</t>
  </si>
  <si>
    <t>nvarchar</t>
  </si>
  <si>
    <t>idAccountVATInput</t>
  </si>
  <si>
    <t>idAccountVATOutput</t>
  </si>
  <si>
    <t>RateCurrent</t>
  </si>
  <si>
    <t>DateRateChange</t>
  </si>
  <si>
    <t>RateFuture</t>
  </si>
  <si>
    <t>Index</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</si>
  <si>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</si>
  <si>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</si>
  <si>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</si>
  <si>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</si>
  <si>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</si>
  <si>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</si>
  <si>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</si>
  <si>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</si>
  <si>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</si>
  <si>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</si>
  <si>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</si>
  <si>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</si>
  <si>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</si>
  <si>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</si>
  <si>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</si>
  <si>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</si>
  <si>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</si>
  <si>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</si>
  <si>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</si>
  <si>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</si>
  <si>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</si>
  <si>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</si>
  <si>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</si>
  <si>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</si>
  <si>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</si>
  <si>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Title of the reference item, optional</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</si>
  <si>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</si>
  <si>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</si>
  <si>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</si>
  <si>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</si>
  <si>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</si>
  <si>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</si>
  <si>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</si>
  <si>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</si>
  <si>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</si>
  <si>
    <t>DateValidFrom</t>
  </si>
  <si>
    <t>DateValidTo</t>
  </si>
  <si>
    <t>Date until which planning records are created</t>
  </si>
  <si>
    <t>AccountCode</t>
  </si>
  <si>
    <t>BookingRunCode</t>
  </si>
  <si>
    <t>CostCenterCode</t>
  </si>
  <si>
    <t>CurrencyCode</t>
  </si>
  <si>
    <t>VATRuleCode</t>
  </si>
  <si>
    <t>ReferenceCode</t>
  </si>
  <si>
    <t>BookRecordComment</t>
  </si>
  <si>
    <t>PlanParameterComment</t>
  </si>
  <si>
    <t>BookingDate</t>
  </si>
  <si>
    <t>PlanElementDescription</t>
  </si>
  <si>
    <t>PlanFlagBaseline</t>
  </si>
  <si>
    <t>ElementFlagBaseline</t>
  </si>
  <si>
    <t>idAccountPlanAccountFunction</t>
  </si>
  <si>
    <t>idCostCenterBookRecord</t>
  </si>
  <si>
    <t>idCostCenterPlanElement</t>
  </si>
  <si>
    <t>idCurrencyClient</t>
  </si>
  <si>
    <t>idCurrencyExchangeRate</t>
  </si>
  <si>
    <t>ReferenceIDBookRecord</t>
  </si>
  <si>
    <t>ReferenceIDPlanElement</t>
  </si>
  <si>
    <t>TitleBookRecord</t>
  </si>
  <si>
    <t>TitleClient</t>
  </si>
  <si>
    <t>TitleCostCenter</t>
  </si>
  <si>
    <t>TitleCurrency</t>
  </si>
  <si>
    <t>TitleDepreciationRule</t>
  </si>
  <si>
    <t>TitlePlan</t>
  </si>
  <si>
    <t>TitleAllocationSchedule</t>
  </si>
  <si>
    <t>TitlePlanElement</t>
  </si>
  <si>
    <t>TitlePlanGroup</t>
  </si>
  <si>
    <t>TitlePlanParameter</t>
  </si>
  <si>
    <t>TitleVATRule</t>
  </si>
  <si>
    <t>TitleReferenceGroup</t>
  </si>
  <si>
    <t>TitleEnglishAccount</t>
  </si>
  <si>
    <t>TitleEnglishAccountGroup</t>
  </si>
  <si>
    <t>TitleLocalAccount</t>
  </si>
  <si>
    <t>TitleLocalAccountGroup</t>
  </si>
  <si>
    <t>TypeBookRecord</t>
  </si>
  <si>
    <t>TypeDepreciationRule</t>
  </si>
  <si>
    <t>TypePlanElement</t>
  </si>
  <si>
    <t>TypePlanParameter</t>
  </si>
  <si>
    <t>TypeReferenceGroup</t>
  </si>
  <si>
    <t>UnitParameter</t>
  </si>
  <si>
    <t>Status</t>
  </si>
  <si>
    <t>Depends on</t>
  </si>
  <si>
    <t>Cascade Sequence</t>
  </si>
  <si>
    <t>Develop</t>
  </si>
  <si>
    <t>Automate standard view creation per table</t>
  </si>
  <si>
    <t>Automate entity model creation per view</t>
  </si>
  <si>
    <t>Create COM interfaces for early binding and intellisense use in Office</t>
  </si>
  <si>
    <t>Set up dynamic connection string determination for business objects</t>
  </si>
  <si>
    <t>AutoView</t>
  </si>
  <si>
    <t>Currency</t>
  </si>
  <si>
    <t>PlanAccountFunction</t>
  </si>
  <si>
    <t>Account</t>
  </si>
  <si>
    <t>AccountGroup</t>
  </si>
  <si>
    <t>CostCenter</t>
  </si>
  <si>
    <t>DepreciationRule</t>
  </si>
  <si>
    <t>VATRule</t>
  </si>
  <si>
    <t>ReferenceGroup</t>
  </si>
  <si>
    <t>BookingRun</t>
  </si>
  <si>
    <t>Plan</t>
  </si>
  <si>
    <t>PlanElement</t>
  </si>
  <si>
    <t>PlanGroup</t>
  </si>
  <si>
    <t>PlanAllocationSchedule</t>
  </si>
  <si>
    <t>PlanElementInstance</t>
  </si>
  <si>
    <t>PlanParameter</t>
  </si>
  <si>
    <t>PlanTransaction</t>
  </si>
  <si>
    <t>BookRecord</t>
  </si>
  <si>
    <t>BookTransaction</t>
  </si>
  <si>
    <t>TableName</t>
  </si>
  <si>
    <t>ViewName</t>
  </si>
  <si>
    <t>Entity Name</t>
  </si>
  <si>
    <t>ViewAlias</t>
  </si>
  <si>
    <t>Top Row Limit</t>
  </si>
  <si>
    <t>Folder for SQL Scripts</t>
  </si>
  <si>
    <t>C:\Users\thors\source\repos\Verum\Design\DatabaseScripts</t>
  </si>
  <si>
    <t>ViewIgnoreRef</t>
  </si>
  <si>
    <t>ViewRefPostFix</t>
  </si>
  <si>
    <t>BasePlan</t>
  </si>
  <si>
    <t>Main</t>
  </si>
  <si>
    <t>Price1</t>
  </si>
  <si>
    <t>Price2</t>
  </si>
  <si>
    <t>Parameters for entity model creation</t>
  </si>
  <si>
    <t>DB Context Name</t>
  </si>
  <si>
    <t>FolderScripts</t>
  </si>
  <si>
    <t>FolderEntityModel</t>
  </si>
  <si>
    <t>DBContext</t>
  </si>
  <si>
    <t>VerumDBContext</t>
  </si>
  <si>
    <t>Folders</t>
  </si>
  <si>
    <t>DB Context Base</t>
  </si>
  <si>
    <t>ContextBase</t>
  </si>
  <si>
    <t>Data Source = SUSTEEN12\\SQLEXPRESS; Initial Catalog = VerumDBDev; Integrated Security = True</t>
  </si>
  <si>
    <t>Range Name</t>
  </si>
  <si>
    <t>Namespace</t>
  </si>
  <si>
    <t>VerumBusinessObjects</t>
  </si>
  <si>
    <t>C:\Users\thors\source\repos\Verum\VerumBusinessObjects\Data Model</t>
  </si>
  <si>
    <t>VATIn</t>
  </si>
  <si>
    <t>VATOut</t>
  </si>
  <si>
    <t>DeprTrigger</t>
  </si>
  <si>
    <t>BookTrigger</t>
  </si>
  <si>
    <t>Debit</t>
  </si>
  <si>
    <t>Credit</t>
  </si>
  <si>
    <t>Report</t>
  </si>
  <si>
    <t/>
  </si>
  <si>
    <t>Folder for data model</t>
  </si>
  <si>
    <t>Folder for business model</t>
  </si>
  <si>
    <t>FolderBusinessModel</t>
  </si>
  <si>
    <t>BaseClasses: Load führt zu Fehler, wenn Id nicht existiert. Prüfen FirstOrDefault? Oder Fehlerbehandlung</t>
  </si>
  <si>
    <t>Nutzung von enum types in data model?</t>
  </si>
  <si>
    <t>datetime2</t>
  </si>
  <si>
    <t>done</t>
  </si>
  <si>
    <t>Auto create table entities in addition to view entities. Use view entities in read-only (get) and table entities in get and set</t>
  </si>
  <si>
    <t>Default value for DateCreated does not work with DateTime2</t>
  </si>
  <si>
    <t>SQL Field Types</t>
  </si>
  <si>
    <t>datetime</t>
  </si>
  <si>
    <t>date</t>
  </si>
  <si>
    <t>ForcedIntegrity</t>
  </si>
  <si>
    <t>Enumlisten als Tabelle in DB realisieren und Code autogenerieren</t>
  </si>
  <si>
    <t>Reference</t>
  </si>
  <si>
    <t>ImplementPlan</t>
  </si>
  <si>
    <t>Check for existing booking record and update / or delete existing booking records</t>
  </si>
  <si>
    <t>Reference Entity</t>
  </si>
  <si>
    <t>Reference Table</t>
  </si>
  <si>
    <t>Reference Field</t>
  </si>
  <si>
    <t>Child relationships code generation implementieren</t>
  </si>
  <si>
    <t>Zustandsmodell in Business Objects für Datenbankzugriff optimieren (Neu, Geändert, Gelösct, o.ä.) =&gt; CommitChanges</t>
  </si>
  <si>
    <t>Shared DBContext zum effizienteren DB Zugriff</t>
  </si>
  <si>
    <t>PlanContract</t>
  </si>
  <si>
    <t>idDepreciationRule  implementieren</t>
  </si>
  <si>
    <t>idVATRule  implementieren</t>
  </si>
  <si>
    <t>AllocationSchedule UntilDate implementieren</t>
  </si>
  <si>
    <t>TypeRepeat UntilDate implementieren</t>
  </si>
  <si>
    <t>idCurrencyContract  implementieren</t>
  </si>
  <si>
    <t>ContractFlagBaseline  implementieren</t>
  </si>
  <si>
    <t>PaymentTerm implementieren</t>
  </si>
  <si>
    <t>BudgetBase fixed/calculated implementieren</t>
  </si>
  <si>
    <t>idParInflation  mit Price Date implementieren</t>
  </si>
  <si>
    <t>BudgetContingency implementieren</t>
  </si>
  <si>
    <t>Remove field idPlanItem from PlanItemInstance - no longer used</t>
  </si>
  <si>
    <t>Due date calculation mit Offset, idParTriggerDate  implementieren, trigger date noch testen</t>
  </si>
  <si>
    <t>Rename and Split into Purchase and Sale?</t>
  </si>
  <si>
    <t>PlanAllocationScheduleItems</t>
  </si>
  <si>
    <t>Rates per period for plan allocation schedules</t>
  </si>
  <si>
    <t>Main account and cash account selection implementieren</t>
  </si>
  <si>
    <t>Links plan element to to a specific plan</t>
  </si>
  <si>
    <t>FlagScheduleShared</t>
  </si>
  <si>
    <t>Indicates whether a schedule is visible for sharing in several different items</t>
  </si>
  <si>
    <t>tReferenceCode</t>
  </si>
  <si>
    <t>RefCodeComment</t>
  </si>
  <si>
    <t>RefCode</t>
  </si>
  <si>
    <t>TitleRefCode</t>
  </si>
  <si>
    <t>Type Name</t>
  </si>
  <si>
    <t>Title</t>
  </si>
  <si>
    <t>NoRepeat</t>
  </si>
  <si>
    <t>Schedule</t>
  </si>
  <si>
    <t>Monthly</t>
  </si>
  <si>
    <t>Quarterly</t>
  </si>
  <si>
    <t>Annually</t>
  </si>
  <si>
    <t>BookingRule</t>
  </si>
  <si>
    <t>Contract</t>
  </si>
  <si>
    <t>C# Code</t>
  </si>
  <si>
    <t>Baseline</t>
  </si>
  <si>
    <t>Actual</t>
  </si>
  <si>
    <t>Change BusinessObject interface to base class or abstract class</t>
  </si>
  <si>
    <t>Date until which repeated records are applied. Either offset or absolute (see DueDateYear). Will only be used if earlier than ValidToDate of Plan.</t>
  </si>
  <si>
    <t>PriceFactor</t>
  </si>
  <si>
    <t>TriggerDate</t>
  </si>
  <si>
    <t>Price Parameter  implementieren</t>
  </si>
  <si>
    <t>Bei Plan Implementation nur einmal Commit aufrufen zur Beschleunigung der DB Transaktionen oder async?</t>
  </si>
  <si>
    <t>TitleElementType</t>
  </si>
  <si>
    <t>CHANGED</t>
  </si>
  <si>
    <t>PlanInflationRule</t>
  </si>
  <si>
    <t>Defines an inflation rule per plan which can be used in planning items</t>
  </si>
  <si>
    <t>Type of parameter (currently price factor, trigger date)</t>
  </si>
  <si>
    <t>tPlanInflationRule</t>
  </si>
  <si>
    <t>TitleInflationRule</t>
  </si>
  <si>
    <t>Title of the inflation rule</t>
  </si>
  <si>
    <t>InflationInterval</t>
  </si>
  <si>
    <t>Number of months between inflation price increases (1, 3 or 12)</t>
  </si>
  <si>
    <t>InflationRateAnnual</t>
  </si>
  <si>
    <t>Annual inflation rate</t>
  </si>
  <si>
    <t>idInflationRule</t>
  </si>
  <si>
    <t>tClient
tAccountGroup</t>
  </si>
  <si>
    <t>tPlan
tPlanElement</t>
  </si>
  <si>
    <t>Assigns an inflation rate and rule, which can be shared across plan items. Inflation schedule is calculated relative to calculated base date of the transaction (based on trigger date, plan valid date or absolute due date) - except in case a PriceDate is defined. When a price date is defined, the inflation is applied relative to the price date.
Inflation is always applied as per January each year and then for every interval according to the inflation rule (typically monthly, quarterly or annually). When a PriceDate is specified the monthly inflation rate is applied from the PriceDate to the nearest inflation interval before the base date of the transaction. Else inflation is applied from the start of the year of the base date, which is only relevant when the inflation interval is less than annually.</t>
  </si>
  <si>
    <t>InflationRuleComment</t>
  </si>
  <si>
    <t>Possible comment for the inflation rule (like assumptions and source information)</t>
  </si>
  <si>
    <t>UPDATE</t>
  </si>
  <si>
    <t>TypeCodeDef</t>
  </si>
  <si>
    <t>TypeGroupDef</t>
  </si>
  <si>
    <t>NEW</t>
  </si>
  <si>
    <t>tTypeCodeDef</t>
  </si>
  <si>
    <t>tTypeGroupDef</t>
  </si>
  <si>
    <t>Reference to type group</t>
  </si>
  <si>
    <t>TypeCode</t>
  </si>
  <si>
    <t>TypeGroupID</t>
  </si>
  <si>
    <t>idTypeGroupDef</t>
  </si>
  <si>
    <t>TypeID</t>
  </si>
  <si>
    <t>Technical identifier of the type - must not be changed. Used in code</t>
  </si>
  <si>
    <t>Technical identifier of the type instance - must not be changed. Used in code</t>
  </si>
  <si>
    <t>Technical code for the type - must not be changed. Used in code</t>
  </si>
  <si>
    <t>Specifies the functionality of the account</t>
  </si>
  <si>
    <t>TypeAccountFunction</t>
  </si>
  <si>
    <t>Cash</t>
  </si>
  <si>
    <t>CashDefault</t>
  </si>
  <si>
    <t>PayablesDefault</t>
  </si>
  <si>
    <t>Payables</t>
  </si>
  <si>
    <t>Derive transaction records from account</t>
  </si>
  <si>
    <t>IdGUID</t>
  </si>
  <si>
    <t>NEWID()</t>
  </si>
  <si>
    <t>tTestGUID</t>
  </si>
  <si>
    <t>uniqueidentifier</t>
  </si>
  <si>
    <t>Replikations-ID</t>
  </si>
  <si>
    <t>idAccountVATBalance</t>
  </si>
  <si>
    <t>AccountVATBalance</t>
  </si>
  <si>
    <t>iAccountVATBalance</t>
  </si>
  <si>
    <t>VATBalance</t>
  </si>
  <si>
    <t>SettlementTerm</t>
  </si>
  <si>
    <t>Implement plan transaction table</t>
  </si>
  <si>
    <t>VerumContext</t>
  </si>
  <si>
    <t>Implement shared context via static container class</t>
  </si>
  <si>
    <t>Implement transaction concept for late persistence</t>
  </si>
  <si>
    <t>Change book transaction creation for book record to late persistence. Preset new book record guid to use for book transaction records before book record is stored to db.</t>
  </si>
  <si>
    <t>idParContingencyRate</t>
  </si>
  <si>
    <t>Parameter % rate used to calculate a contract contingency which is used to calculate the final budget for records</t>
  </si>
  <si>
    <t>DataDictionary</t>
  </si>
  <si>
    <t>Auto-generate business type class</t>
  </si>
  <si>
    <t>Framework</t>
  </si>
  <si>
    <t>Enable custom code for fields via partial &lt;fieldname&gt;Custom method. Use this to run plausis - e.g. ensure that parameter types are correct when storing</t>
  </si>
  <si>
    <t>idAccountActivation</t>
  </si>
  <si>
    <t>Account reference for activation of the item</t>
  </si>
  <si>
    <t>Linear</t>
  </si>
  <si>
    <t>AccountActivation</t>
  </si>
  <si>
    <t>AccountDepreciation</t>
  </si>
  <si>
    <t>A depreciation rule defines a pair of accounts for activation and depreciation in combination with the number of periods and length of periods in month for depreciation.</t>
  </si>
  <si>
    <t>CurrencyExchangeRate</t>
  </si>
  <si>
    <t>tCurrencyExchangeRate</t>
  </si>
  <si>
    <t>Optional reference to plan to which the item belongs - defines when and how the item is applied to controlling records including baseline. The plan also supplied a reference date from which onward the item can be valid.</t>
  </si>
  <si>
    <t>Mandatory reference to client. Normally exchange rates are defined per client. There is an option to specify planned exchange rates per plan</t>
  </si>
  <si>
    <t>DateExchangeRate</t>
  </si>
  <si>
    <t>Reference date of the exchange rate. The system will always use the latest rate available for a specific transaction date</t>
  </si>
  <si>
    <t>RateDate</t>
  </si>
  <si>
    <t>Reference to currency, which enables a currency schedule. Centrally maintained. Defaults to Client currency. Refers to client currency if not defined.</t>
  </si>
  <si>
    <t>idCurrency</t>
  </si>
  <si>
    <t>FlagBaseline</t>
  </si>
  <si>
    <t>UntilDateYear</t>
  </si>
  <si>
    <t>UntilDateMonth</t>
  </si>
  <si>
    <t>UntilDateDay</t>
  </si>
  <si>
    <t>BudgetFixed</t>
  </si>
  <si>
    <t>idParTriggerDueDate</t>
  </si>
  <si>
    <t>How to raise error codes in COM Interop</t>
  </si>
  <si>
    <t>User</t>
  </si>
  <si>
    <t>Table of users including login details and assigned client</t>
  </si>
  <si>
    <t>tUser</t>
  </si>
  <si>
    <t>UserName</t>
  </si>
  <si>
    <t>UserLogin</t>
  </si>
  <si>
    <t>UserPasswordHash</t>
  </si>
  <si>
    <t>Full name of the user</t>
  </si>
  <si>
    <t>Login name</t>
  </si>
  <si>
    <t>Login password as hash key</t>
  </si>
  <si>
    <t>Reference for default client</t>
  </si>
  <si>
    <t>idClientDefault</t>
  </si>
  <si>
    <t>ClientDefault</t>
  </si>
  <si>
    <t>Session</t>
  </si>
  <si>
    <t>Contains currently valid session keys. Session keys expire after a defined time. (Standard 12 hours)</t>
  </si>
  <si>
    <t>tUser
tClient</t>
  </si>
  <si>
    <t>tSession</t>
  </si>
  <si>
    <t>idUser</t>
  </si>
  <si>
    <t>Reference to user</t>
  </si>
  <si>
    <t>SessionUser</t>
  </si>
  <si>
    <t>SessionClient</t>
  </si>
  <si>
    <t>TypeUser</t>
  </si>
  <si>
    <t>Standard</t>
  </si>
  <si>
    <t>Admin</t>
  </si>
  <si>
    <t>NoUser</t>
  </si>
  <si>
    <t>Create plausis that make sure that business objects which are not connected to the current client cannot be loaded or created</t>
  </si>
  <si>
    <t>Anzahlungen implmentieren und bei Abschreibung auch vor Start der Abschreibung aktivieren</t>
  </si>
  <si>
    <t>idParTriggerAdvance</t>
  </si>
  <si>
    <t>AdvanceTrigger</t>
  </si>
  <si>
    <t>Optional specification of an account for booking of transaction amounts to advance or unfinished goods</t>
  </si>
  <si>
    <t>idAccountAdvance</t>
  </si>
  <si>
    <t>AccountAdvance</t>
  </si>
  <si>
    <t>Number of periods of the schedule until which the transactions will be booked to advance account. At the specified period all prior and the specified period amount will be booked from the advance account to the main account. The specification of a AdvanceTrigger in the PlanElement will override this setting</t>
  </si>
  <si>
    <t>AdvanceDelayPeriods</t>
  </si>
  <si>
    <t>AdvanceReceived</t>
  </si>
  <si>
    <t>AdvanceReceivedDefault</t>
  </si>
  <si>
    <t>AdvanceDelay</t>
  </si>
  <si>
    <t>Optional trigger date to convert advance payments/unfinished service activation bookings into main account booking. The specification of a trigger date takes precendence over the specification of an advance conversion period in an allocation schedule or via the field AdvanceDelay.</t>
  </si>
  <si>
    <t>Optional number of months versus base date until which prior payments will be booked via advance account. The specification of an advance delay &gt; 0 takes precendence over the specification of an advance conversion period in an allocation schedule.</t>
  </si>
  <si>
    <t>Security</t>
  </si>
  <si>
    <t>Restrict access to DB based to admin account and find safe way to provide framework with connection credentials. Implement dynamic specification of db connection</t>
  </si>
  <si>
    <t>Set date created upon BO.New</t>
  </si>
  <si>
    <t>No longer used. Fixed budget when NumberOfUnits = 0</t>
  </si>
  <si>
    <t>Description of the plan group and ist purpose</t>
  </si>
  <si>
    <t>TitleEnglishPlanGroup</t>
  </si>
  <si>
    <t>TitleEnglishCostCenter</t>
  </si>
  <si>
    <t>DescriptionCostCenter</t>
  </si>
  <si>
    <t>TypeReferenceCode</t>
  </si>
  <si>
    <t>I</t>
  </si>
  <si>
    <t>E</t>
  </si>
  <si>
    <t>C</t>
  </si>
  <si>
    <t>P</t>
  </si>
  <si>
    <t>Inventory</t>
  </si>
  <si>
    <t>Project</t>
  </si>
  <si>
    <t>Employee</t>
  </si>
  <si>
    <t>DescriptionPlanGroup</t>
  </si>
  <si>
    <t>Booking account for settlement of VAT</t>
  </si>
  <si>
    <t>Purchase</t>
  </si>
  <si>
    <t>Ensure integrity of book records linked to plan element instance. Solve multiple path ON CASCADE DELETE problem through delete triggers (INSTEAD OF DELETE)?
https://www.mssqltips.com/sqlservertip/2733/solving-the-sql-server-multiple-cascade-path-issue-with-a-trigger/</t>
  </si>
  <si>
    <t>Period</t>
  </si>
  <si>
    <t>Expenditure</t>
  </si>
  <si>
    <t>Income</t>
  </si>
  <si>
    <t>Capital</t>
  </si>
  <si>
    <t>Liabilities</t>
  </si>
  <si>
    <t>Assets</t>
  </si>
  <si>
    <t>Semiannually</t>
  </si>
  <si>
    <t>FlagAuto</t>
  </si>
  <si>
    <t>Indicates whether a schedule is defined from defined periods for simplification</t>
  </si>
  <si>
    <t>Period1</t>
  </si>
  <si>
    <t>Rate1</t>
  </si>
  <si>
    <t>Period2</t>
  </si>
  <si>
    <t>Rate2</t>
  </si>
  <si>
    <t>Period3</t>
  </si>
  <si>
    <t>Rate3</t>
  </si>
  <si>
    <t>Number of months between application of successive item rates (1 - monthly, 3 - quarterly, 6 - semi-annually 12 - annually)</t>
  </si>
  <si>
    <t>TypeRegularPeriods</t>
  </si>
  <si>
    <t>Period of first rate</t>
  </si>
  <si>
    <t>First rate</t>
  </si>
  <si>
    <t>Period of second rate</t>
  </si>
  <si>
    <t>Second rate</t>
  </si>
  <si>
    <t>Period of third rate</t>
  </si>
  <si>
    <t>Third rate</t>
  </si>
  <si>
    <t>Mark plans as obsolete for filtering</t>
  </si>
  <si>
    <t>Excel Import for TypeCodeDef</t>
  </si>
  <si>
    <t>Excel Import for TypeGroupDef</t>
  </si>
  <si>
    <t>Excel Import for PlanAccountFunction</t>
  </si>
  <si>
    <t>Excel Import for ReferenceGroup</t>
  </si>
  <si>
    <t>Excel Import for BookingRun</t>
  </si>
  <si>
    <t>Excel Import for Plan</t>
  </si>
  <si>
    <t>Excel Import for CurrencyExchangeRate</t>
  </si>
  <si>
    <t>Excel Import</t>
  </si>
  <si>
    <t>Copy plan. What to do with dependent items when copying a plan?</t>
  </si>
  <si>
    <t>Convert plan to baseline. Lock all dependent items of a plan when applied to baseline? How about master data (VAT Rules, accounts, etc)</t>
  </si>
  <si>
    <t>PlanPurchase</t>
  </si>
  <si>
    <t>Add scale schedule functionality to enable annual scaling of revenue and cost elements</t>
  </si>
  <si>
    <t>VerumInstance</t>
  </si>
  <si>
    <t>Supply connection details from client</t>
  </si>
  <si>
    <t>Revisit error handling in PlanImplement on dll level to provide client with adequate user information</t>
  </si>
  <si>
    <t>Data Model</t>
  </si>
  <si>
    <t>Forecast</t>
  </si>
  <si>
    <t>How to determine starting values for all accounts in a plan/plan variant?</t>
  </si>
  <si>
    <t>Implement deletion functionality with cascaded deletion. Consider to use triggers in DB. See onenote</t>
  </si>
  <si>
    <t>PlanSale</t>
  </si>
  <si>
    <t>Design and implement PlanElementSale based on PlanElementPurchase</t>
  </si>
  <si>
    <t>PlanBooking</t>
  </si>
  <si>
    <t>Design and implement PlanElementBooking based on PlanElementPurchase</t>
  </si>
  <si>
    <t>PlanPersonnel</t>
  </si>
  <si>
    <t>Design and implement PlanElementPersonnel</t>
  </si>
  <si>
    <t>PlanLoan</t>
  </si>
  <si>
    <t>Design and implement PlanElementLoan</t>
  </si>
  <si>
    <t>PlanElementBooking</t>
  </si>
  <si>
    <t>Planning element for simple planned accounting transactions with schedule option.</t>
  </si>
  <si>
    <t>tPlanElementBooking</t>
  </si>
  <si>
    <t>GetVia combination of plan group and title =&gt; unique index</t>
  </si>
  <si>
    <t>Multiple records per element based on unique combination of debit and credit account</t>
  </si>
  <si>
    <t>Sale</t>
  </si>
  <si>
    <t>Loan</t>
  </si>
  <si>
    <t>tPlanElementContract</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</si>
  <si>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
The PlanElement type defines, whether the contract is interpreted as purchase or sale</t>
  </si>
  <si>
    <t>Enables the depreciation of the contract value (only for type purchase)</t>
  </si>
  <si>
    <t>Optional specification of a trigger date for start of depreciation. Can be used to trigger depreciation of  an entire facility after completion (only for type purchase)</t>
  </si>
  <si>
    <t>Delayed start of depreciation in number of months versus base date (only for type purchase)</t>
  </si>
  <si>
    <t>PlanElementContract</t>
  </si>
  <si>
    <t>Planning element for personnel cost</t>
  </si>
  <si>
    <t>Personnel tariff for use in a Personnel Element</t>
  </si>
  <si>
    <t>Expense profile for personnel for us in a Personnel Element. Mainly contains social insurance tariffs, but may also be used for budgeting personnel expenses such as travel and phone</t>
  </si>
  <si>
    <t>idTariff</t>
  </si>
  <si>
    <t>StaffName</t>
  </si>
  <si>
    <t>FTEFactor</t>
  </si>
  <si>
    <t>Department</t>
  </si>
  <si>
    <t>Reference to personnel tariff specifying the base salary, shift allowances and bonus payments</t>
  </si>
  <si>
    <t>Reference to expense profile specifying social insurance rates and other expense categories</t>
  </si>
  <si>
    <t>Name of staff if individual</t>
  </si>
  <si>
    <t>Name of assigned department</t>
  </si>
  <si>
    <t>FTE Factor for part-time staff</t>
  </si>
  <si>
    <t>RatioShiftNight</t>
  </si>
  <si>
    <t>RatioShiftSpecial</t>
  </si>
  <si>
    <t>RatioOvertime</t>
  </si>
  <si>
    <t>Share of worktime in night shift with allowance</t>
  </si>
  <si>
    <t>Share of worktime in special shift (Sunday, holiday) with allowance</t>
  </si>
  <si>
    <t>Share of extra worktime/overtime with overtime allowance if applicable</t>
  </si>
  <si>
    <t>TitleTariff</t>
  </si>
  <si>
    <t>AnnualLeave</t>
  </si>
  <si>
    <t>StandardHolidays</t>
  </si>
  <si>
    <t>RateShiftNight</t>
  </si>
  <si>
    <t>RateShiftSpecial</t>
  </si>
  <si>
    <t>RateOvertime</t>
  </si>
  <si>
    <t>RateAnnualBonus</t>
  </si>
  <si>
    <t>AnnualBonusMonth</t>
  </si>
  <si>
    <t>FlagShared</t>
  </si>
  <si>
    <t>TariffIndex</t>
  </si>
  <si>
    <t>Tariff validity can be limited in case of tariff change</t>
  </si>
  <si>
    <t>WorkTimeWeekly</t>
  </si>
  <si>
    <t>Number of work days vacation entitlement per year</t>
  </si>
  <si>
    <t>Number of free workdays per year due to holidays as per locale. Currently region specific annual available worktime is not supported</t>
  </si>
  <si>
    <t>BaseSalaryMonthly</t>
  </si>
  <si>
    <t>Number of work hours per week on FTE basis - based on 5 day work week</t>
  </si>
  <si>
    <t>Monthly base salary for fulltime equivalent without allowances. Specified in currency if defined. Else in base currency of the client</t>
  </si>
  <si>
    <t>Allowance rate for night shift worktime  - in addition to base salary. Typical percentage &lt; 100%</t>
  </si>
  <si>
    <t>Allowance rate for special shift worktime  - in addition to base salary. Typical percentage &lt; 100%</t>
  </si>
  <si>
    <t>Allowance rate for overtime work as a ratio of base salary. Typical percentage &gt;= 100%</t>
  </si>
  <si>
    <t>Optional annual bonus as a ratio of the monthly base salary</t>
  </si>
  <si>
    <t>Month of year for payout of annual bonus</t>
  </si>
  <si>
    <t>Indicates whether a tariff can be shared between several staff</t>
  </si>
  <si>
    <t>idAccountSalary</t>
  </si>
  <si>
    <t>Booking account for salary</t>
  </si>
  <si>
    <t>PayDay</t>
  </si>
  <si>
    <t>Day in month for salary payments</t>
  </si>
  <si>
    <t xml:space="preserve">Reference to tariff master account. There can be several tariff details per tariff based on different DateValidTo. </t>
  </si>
  <si>
    <t>PlanHRTariff</t>
  </si>
  <si>
    <t>PlanHRTariffDetail</t>
  </si>
  <si>
    <t>PlanHRExpense</t>
  </si>
  <si>
    <t>PlanElementHR</t>
  </si>
  <si>
    <t>tPlanHRTariff</t>
  </si>
  <si>
    <t>tPlanHRExpense</t>
  </si>
  <si>
    <t>HR</t>
  </si>
  <si>
    <t>tPlanElementHR</t>
  </si>
  <si>
    <t>tPlanHRTariffDetail</t>
  </si>
  <si>
    <t xml:space="preserve">Title of the tariff. Must be unique </t>
  </si>
  <si>
    <t>TitleExpenseGroup</t>
  </si>
  <si>
    <t>ExpenseGroupIndex</t>
  </si>
  <si>
    <t>TariffDescription</t>
  </si>
  <si>
    <t>Optional description of tariff</t>
  </si>
  <si>
    <t>ExpenseGroupDescription</t>
  </si>
  <si>
    <t>Optional description of the expense group</t>
  </si>
  <si>
    <t>Title of the expense group. Must be unique per client/plan</t>
  </si>
  <si>
    <t>idExpenseGroup</t>
  </si>
  <si>
    <t>PlanHRExpenseGroup</t>
  </si>
  <si>
    <t>tPlanHRExpenseGroup</t>
  </si>
  <si>
    <t>Validity of the expense item can be limited in case of change</t>
  </si>
  <si>
    <t>TitleExpense</t>
  </si>
  <si>
    <t>Title of the expense</t>
  </si>
  <si>
    <t>idAccountExpense</t>
  </si>
  <si>
    <t>Reference to the booking account for the expense</t>
  </si>
  <si>
    <t>RatioToSalary</t>
  </si>
  <si>
    <t>Ratio of the monthly salary applied to the expense. If zero: use absolute amount instead</t>
  </si>
  <si>
    <t>ExpenseAmount</t>
  </si>
  <si>
    <t>Amount of the expense. If RatioToSalary &gt; 0 the ExpenseAmount defines the maximum expense per month</t>
  </si>
  <si>
    <t>ApplyToBonusMode</t>
  </si>
  <si>
    <t>Specifies how bonus payments are considered in determining the expense payment. "Exclude": expense rate not applied to bonus. "Add": add bonus to monthly salary in payout month and apply expense rate and optional cap. "Distribute": Add 1/12 to salary of bonus month, determine impact of possible cap and apply 12 x difference between expense without bonus and expense with bonus</t>
  </si>
  <si>
    <t>TypeBonusExpenseMode</t>
  </si>
  <si>
    <t>Distribute</t>
  </si>
  <si>
    <t>Add</t>
  </si>
  <si>
    <t>Exclude</t>
  </si>
  <si>
    <t>DeductFromSalary</t>
  </si>
  <si>
    <t>Defines an optional share of the expense that is deducted from the salary. For instance for social insurance premiums that are partially paid by the employee.</t>
  </si>
  <si>
    <t>DateInflationBase</t>
  </si>
  <si>
    <t>FlagUpdate</t>
  </si>
  <si>
    <t>Add custom trigger table and auto-generate triggers for updates across relationshsips</t>
  </si>
  <si>
    <t>Create user creation and maintenance functionality</t>
  </si>
  <si>
    <t>Create plan implementation command</t>
  </si>
  <si>
    <t>Make plan implementation async</t>
  </si>
  <si>
    <t>Import booking run from DATEV</t>
  </si>
  <si>
    <t>SalaryCap</t>
  </si>
  <si>
    <t>ImportFileName</t>
  </si>
  <si>
    <t>ImportedDate</t>
  </si>
  <si>
    <t>ImportFileDate</t>
  </si>
  <si>
    <t>DATEVClientNumber</t>
  </si>
  <si>
    <t>Defines the optional client number for DATEV journal imports</t>
  </si>
  <si>
    <t>BookingRunTitle</t>
  </si>
  <si>
    <t>Optional title of the booking run according to the journal file</t>
  </si>
  <si>
    <t>BookingDocument</t>
  </si>
  <si>
    <t>AccountCodeFrom</t>
  </si>
  <si>
    <t>AccountCodeTo</t>
  </si>
  <si>
    <t>idAccountReportingDefault</t>
  </si>
  <si>
    <t>TypeAccountDefault</t>
  </si>
  <si>
    <t>RecordsImported</t>
  </si>
  <si>
    <t>RecordsOmitted</t>
  </si>
  <si>
    <t>PlanHR</t>
  </si>
  <si>
    <t>Direkte Integration einer Personalnummer als Buchungsreferenz in PlanHR, statt ReferenceCode</t>
  </si>
  <si>
    <t>Integration von Zulagen zur Altersvorsorge und PKV in Tarifdetails</t>
  </si>
  <si>
    <t>Verlagerung FTE Quote, Shift Ratios in TarifDetails</t>
  </si>
  <si>
    <t>Inflation Date in Tarifdetails verlagern</t>
  </si>
  <si>
    <t>DataImport</t>
  </si>
  <si>
    <t>Excel import auf OpenXML mit Filedialog umstellen</t>
  </si>
  <si>
    <t>DATEVImport</t>
  </si>
  <si>
    <t>Tidy up and make async with proper progress info</t>
  </si>
  <si>
    <t>DATEVImportFolder</t>
  </si>
  <si>
    <t>DataImportFolder</t>
  </si>
  <si>
    <t>JobReport</t>
  </si>
  <si>
    <t>JobReportItem</t>
  </si>
  <si>
    <t>tJobReport</t>
  </si>
  <si>
    <t>TypeJob</t>
  </si>
  <si>
    <t>DateJobStart</t>
  </si>
  <si>
    <t>DateJobEnd</t>
  </si>
  <si>
    <t>TypeJobSuccess</t>
  </si>
  <si>
    <t>JournalImport</t>
  </si>
  <si>
    <t>PlanImport</t>
  </si>
  <si>
    <t>PlanImplement</t>
  </si>
  <si>
    <t>Success</t>
  </si>
  <si>
    <t>Error</t>
  </si>
  <si>
    <t>Warning</t>
  </si>
  <si>
    <t>tJobReportItem</t>
  </si>
  <si>
    <t>idJobReport</t>
  </si>
  <si>
    <t>ObjectTitle</t>
  </si>
  <si>
    <t>Timestamp</t>
  </si>
  <si>
    <t>ResultCode</t>
  </si>
  <si>
    <t>ContextInfo</t>
  </si>
  <si>
    <t>Message</t>
  </si>
  <si>
    <t>Add payment term to expense items (eg. For BG)</t>
  </si>
  <si>
    <t>Excel Import All Accounts</t>
  </si>
  <si>
    <t>Excel Import Clients</t>
  </si>
  <si>
    <t>Excel Import Users</t>
  </si>
  <si>
    <t>tClient
tAccount</t>
  </si>
  <si>
    <t>TypePlanStatus</t>
  </si>
  <si>
    <t>PlanImplemented</t>
  </si>
  <si>
    <t>PlanUpdated</t>
  </si>
  <si>
    <t>PlanApplied</t>
  </si>
  <si>
    <t>PlanNew</t>
  </si>
  <si>
    <t>tCurrency
tPlan</t>
  </si>
  <si>
    <t>VersionCode</t>
  </si>
  <si>
    <t>StatusPreliminary</t>
  </si>
  <si>
    <t>AccountCodeDebit</t>
  </si>
  <si>
    <t>AccountCodeCredit</t>
  </si>
  <si>
    <t>Check update trigger functionality upon record insert (eg. In tariff detail)</t>
  </si>
  <si>
    <t>Account titles wrong when account auto-generated upon DATEV import</t>
  </si>
  <si>
    <t>Account reference for depreciation of the item. If provided this will override any account specified in the plan element.</t>
  </si>
  <si>
    <t>idAccountReport</t>
  </si>
  <si>
    <t>idCostCenter</t>
  </si>
  <si>
    <t>MonthIndex</t>
  </si>
  <si>
    <t>AccountCodeReport</t>
  </si>
  <si>
    <t>idAccountBooking</t>
  </si>
  <si>
    <t>DATEVBUCode</t>
  </si>
  <si>
    <t>short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</si>
</sst>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b/>
      <i/>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4" tint="0.79998168889431442"/>
        <bgColor indexed="64"/>
      </patternFill>
    </fill>
  </fills>
  <borders count="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theme="1"/>
      </top>
      <bottom/>
      <diagonal/>
    </border>
  </borders>
  <cellStyleXfs count="1">
    <xf numFmtId="0" fontId="0" fillId="0" borderId="0"/>
  </cellStyleXfs>
  <cellXfs count="21">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xf numFmtId="0" fontId="2" fillId="0" borderId="0" xfId="0" applyFont="1"/>
    <xf numFmtId="0" fontId="0" fillId="0" borderId="0" xfId="0" applyNumberFormat="1"/>
    <xf numFmtId="0" fontId="0" fillId="0" borderId="0" xfId="0" applyNumberFormat="1" applyAlignment="1">
      <alignment wrapText="1"/>
    </xf>
    <xf numFmtId="0" fontId="3" fillId="0" borderId="0" xfId="0" applyFont="1"/>
    <xf numFmtId="0" fontId="0" fillId="0" borderId="0" xfId="0" applyBorder="1"/>
    <xf numFmtId="0" fontId="0" fillId="0" borderId="0" xfId="0" applyBorder="1" applyAlignment="1">
      <alignment wrapText="1"/>
    </xf>
    <xf numFmtId="1" fontId="0" fillId="0" borderId="0" xfId="0" applyNumberFormat="1" applyBorder="1"/>
    <xf numFmtId="0" fontId="0" fillId="0" borderId="0" xfId="0" applyFont="1" applyBorder="1"/>
    <xf numFmtId="0" fontId="0" fillId="0" borderId="7" xfId="0" applyBorder="1"/>
    <xf numFmtId="0" fontId="0" fillId="2" borderId="1" xfId="0" applyFill="1" applyBorder="1" applyAlignment="1">
      <alignment horizontal="left"/>
    </xf>
    <xf numFmtId="0" fontId="0" fillId="2" borderId="2"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cellXfs>
  <cellStyles count="1">
    <cellStyle name="Standard" xfId="0" builtinId="0"/>
  </cellStyles>
  <dxfs count="15">
    <dxf>
      <numFmt numFmtId="19" formatCode="dd/mm/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2295525</xdr:colOff>
          <xdr:row>2</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Database Script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180975</xdr:rowOff>
        </xdr:from>
        <xdr:to>
          <xdr:col>0</xdr:col>
          <xdr:colOff>2295525</xdr:colOff>
          <xdr:row>5</xdr:row>
          <xdr:rowOff>161925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Entity Model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J37" totalsRowShown="0" headerRowDxfId="14">
  <autoFilter ref="A1:J37" xr:uid="{3FC7BAB2-83A4-4C49-B4E9-F430DFB9E271}"/>
  <sortState xmlns:xlrd2="http://schemas.microsoft.com/office/spreadsheetml/2017/richdata2" ref="A2:J37">
    <sortCondition ref="E2:E37"/>
  </sortState>
  <tableColumns count="10">
    <tableColumn id="1" xr3:uid="{21FC1D8E-375B-4557-BB68-7C2F1416CC6A}" name="Entity Name"/>
    <tableColumn id="4" xr3:uid="{63210F70-A66D-47AE-9387-CE903922C263}" name="Description" dataDxfId="13"/>
    <tableColumn id="5" xr3:uid="{C436C649-7E74-49DE-A6FA-1A0C6FBEDF28}" name="Master Data"/>
    <tableColumn id="7" xr3:uid="{632A4617-0077-479E-B2F3-1D97A0909B1F}" name="Depends on"/>
    <tableColumn id="8" xr3:uid="{9BDC6331-2593-49EB-9521-AE3AA1CB2118}" name="Cascade Sequence"/>
    <tableColumn id="9" xr3:uid="{AA0E25D1-83B5-4583-9F17-24702217E7BF}" name="AutoView"/>
    <tableColumn id="12" xr3:uid="{5E276711-A3ED-4899-9899-C2BC42B6F866}" name="Top Row Limit"/>
    <tableColumn id="11" xr3:uid="{FD14D4A8-30D5-4693-BBFE-4575910924BF}" name="TableName" dataDxfId="12">
      <calculatedColumnFormula>"t"&amp;Tables[[#This Row],[Entity Name]]</calculatedColumnFormula>
    </tableColumn>
    <tableColumn id="10" xr3:uid="{5681D341-E8C6-4CF2-BC51-EB346B60DFD7}" name="ViewName" dataDxfId="11">
      <calculatedColumnFormula>"v"&amp;Tables[[#This Row],[Entity Name]]</calculatedColumnFormula>
    </tableColumn>
    <tableColumn id="6" xr3:uid="{C2488DD9-6CA5-480B-8577-D47E57043B6A}" name="Actio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V282" totalsRowShown="0">
  <autoFilter ref="A1:V282" xr:uid="{6C9F4177-2F2C-46C1-9FC5-827AAE8A43DD}"/>
  <sortState xmlns:xlrd2="http://schemas.microsoft.com/office/spreadsheetml/2017/richdata2" ref="A2:V282">
    <sortCondition ref="B2:B282"/>
    <sortCondition ref="A2:A282"/>
  </sortState>
  <tableColumns count="22">
    <tableColumn id="13" xr3:uid="{3B2C1697-8730-4DEB-84E7-BA45396DF7D1}" name="Order"/>
    <tableColumn id="1" xr3:uid="{6EA5FBBD-4E4A-4620-B76D-119284E53186}" name="Object Name"/>
    <tableColumn id="2" xr3:uid="{2A01F41F-FA55-474D-87F0-5BB033C0C064}" name="Column Name"/>
    <tableColumn id="9" xr3:uid="{A3BA7825-3F4F-4AF5-B273-BBB87934CA8B}" name="Description" dataDxfId="10"/>
    <tableColumn id="3" xr3:uid="{0ED351C7-76F0-4840-80C9-EA8B456A0BAF}" name="Data Type_x000a_Access"/>
    <tableColumn id="12" xr3:uid="{71474AE3-01F0-483C-9BB1-4C82339D8278}" name="Data Type SQL Server"/>
    <tableColumn id="10" xr3:uid="{5F32AEB2-B34A-4A92-A8A3-A05D4F1DBE37}" name="Size" dataDxfId="9"/>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8"/>
    <tableColumn id="21" xr3:uid="{88927A6F-2FE2-4543-89B9-1A058BEFFE8D}" name="Reference Entity" dataDxfId="7"/>
    <tableColumn id="7" xr3:uid="{A4BB75C7-3037-4569-8414-FC7A9CDCDA5E}" name="Reference Table">
      <calculatedColumnFormula>IF(Fields[[#This Row],[Reference Entity]]&lt;&gt;"","t" &amp;Fields[[#This Row],[Reference Entity]],"")</calculatedColumnFormula>
    </tableColumn>
    <tableColumn id="22" xr3:uid="{49FA5B68-9EFD-4E54-8C58-4232C853FD5A}" name="Reference Field"/>
    <tableColumn id="15" xr3:uid="{32BA2C6A-3C6A-42C3-852A-8DFF434C660C}" name="Integrity"/>
    <tableColumn id="11" xr3:uid="{E2506CF4-3DEE-4527-B7DB-425D56BA3249}" name="Triggers" dataDxfId="6"/>
    <tableColumn id="8" xr3:uid="{2367896C-43EE-40EE-8815-B40A76B58138}" name="Index"/>
    <tableColumn id="18" xr3:uid="{A0B4A292-9090-4D70-BF39-DFF27CCDC9A3}" name="Unique" dataDxfId="5"/>
    <tableColumn id="5" xr3:uid="{3C0DD284-3B78-4282-A258-441F8153DDD2}" name="ViewAlias" dataDxfId="4"/>
    <tableColumn id="20" xr3:uid="{C60CBD46-F13E-49A7-BE9C-2CB07D3BF9C6}" name="ViewIgnoreRef" dataDxfId="3"/>
    <tableColumn id="19" xr3:uid="{74F7F88F-E45E-4FF5-84F1-02C8AC660F70}" name="ViewRefPostFix" dataDxfId="2"/>
    <tableColumn id="14" xr3:uid="{EF366D0D-6477-48BA-BBA8-D77C72AECCA1}" name="Statu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94D8D4-C8A7-4F0D-AD7F-91EC548C15F9}" name="Tabelle6" displayName="Tabelle6" ref="A1:D55" totalsRowShown="0">
  <autoFilter ref="A1:D55" xr:uid="{13AC1DF3-2914-46A7-9297-029DE38F270B}"/>
  <sortState xmlns:xlrd2="http://schemas.microsoft.com/office/spreadsheetml/2017/richdata2" ref="A2:D11">
    <sortCondition ref="A2:A11"/>
    <sortCondition ref="C2:C11"/>
  </sortState>
  <tableColumns count="4">
    <tableColumn id="1" xr3:uid="{BD3A0C55-57FB-4349-A0D6-E623CF68D1F5}" name="Type Name"/>
    <tableColumn id="2" xr3:uid="{752E80FD-D6A0-4F22-8359-0CEA55BDFE7E}" name="Title"/>
    <tableColumn id="3" xr3:uid="{3640DF04-3143-4EC2-85C9-0EA24F20CEBD}" name="Code"/>
    <tableColumn id="4" xr3:uid="{D2674F7F-BB5B-4476-AD62-C6403FA5FE52}" name="C# Code" dataDxfId="1">
      <calculatedColumnFormula>Tabelle6[[#This Row],[Title]] &amp; " = "&amp;Tabelle6[[#This Row],[Code]]&amp;IF(A3=Tabelle6[[#This Row],[Type Name]],",","")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E90" totalsRowShown="0">
  <autoFilter ref="A1:E90" xr:uid="{D0F7D4B2-3E8F-4B71-9417-39F49A258EDE}">
    <filterColumn colId="4">
      <filters blank="1"/>
    </filterColumn>
  </autoFilter>
  <tableColumns count="5">
    <tableColumn id="1" xr3:uid="{AFDCA47B-D912-48C8-991C-7E9A00AFD09B}" name="Date" dataDxfId="0"/>
    <tableColumn id="2" xr3:uid="{8B648B12-BB3C-4E90-B5AA-D97AB1E0C0AD}" name="Type"/>
    <tableColumn id="5" xr3:uid="{AD6C6663-09B0-4DD9-98A3-4C57D49F866C}" name="Reference"/>
    <tableColumn id="3" xr3:uid="{83A80644-C3BA-4592-9E8B-D1A86E817BE4}" name="Description"/>
    <tableColumn id="4" xr3:uid="{2E8CE2E6-5D6E-483A-894A-A7EAF41B5637}" name="Statu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2A08A1-4E0F-4459-85BA-460DF69C41CA}" name="SQLFieldTypes" displayName="SQLFieldTypes" ref="A1:A10" totalsRowShown="0">
  <autoFilter ref="A1:A10" xr:uid="{94018E9A-950F-4813-8689-1603526B402B}"/>
  <tableColumns count="1">
    <tableColumn id="1" xr3:uid="{278EC05D-BF16-41A3-86C7-CB8234A08E2E}" name="SQL Field Types"/>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0CC2A1-9B6A-402E-BD97-287B7396E541}" name="Tabelle5" displayName="Tabelle5" ref="C1:C3" totalsRowShown="0">
  <autoFilter ref="C1:C3" xr:uid="{225A529C-D533-4A03-991F-99B58CD1E589}"/>
  <tableColumns count="1">
    <tableColumn id="1" xr3:uid="{C82027A7-A6C3-417F-BB1F-4C536DBB4539}" name="Integrity"/>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1:K19"/>
  <sheetViews>
    <sheetView workbookViewId="0">
      <selection activeCell="K16" sqref="K16"/>
    </sheetView>
  </sheetViews>
  <sheetFormatPr baseColWidth="10" defaultRowHeight="15" outlineLevelCol="1" x14ac:dyDescent="0.25"/>
  <cols>
    <col min="1" max="1" width="34.5703125" bestFit="1" customWidth="1"/>
    <col min="2" max="2" width="17.7109375" hidden="1" customWidth="1" outlineLevel="1"/>
    <col min="3" max="3" width="11.42578125" collapsed="1"/>
  </cols>
  <sheetData>
    <row r="11" spans="1:7" x14ac:dyDescent="0.25">
      <c r="A11" s="6" t="s">
        <v>374</v>
      </c>
      <c r="B11" s="6" t="s">
        <v>378</v>
      </c>
    </row>
    <row r="12" spans="1:7" x14ac:dyDescent="0.25">
      <c r="A12" t="s">
        <v>360</v>
      </c>
      <c r="B12" t="s">
        <v>370</v>
      </c>
      <c r="C12" s="15" t="s">
        <v>361</v>
      </c>
      <c r="D12" s="16"/>
      <c r="E12" s="16"/>
      <c r="F12" s="16"/>
      <c r="G12" s="17"/>
    </row>
    <row r="13" spans="1:7" x14ac:dyDescent="0.25">
      <c r="A13" t="s">
        <v>390</v>
      </c>
      <c r="B13" t="s">
        <v>371</v>
      </c>
      <c r="C13" s="15" t="s">
        <v>381</v>
      </c>
      <c r="D13" s="16"/>
      <c r="E13" s="16"/>
      <c r="F13" s="16"/>
      <c r="G13" s="17"/>
    </row>
    <row r="14" spans="1:7" x14ac:dyDescent="0.25">
      <c r="A14" t="s">
        <v>391</v>
      </c>
      <c r="B14" t="s">
        <v>392</v>
      </c>
      <c r="C14" s="15" t="s">
        <v>381</v>
      </c>
      <c r="D14" s="16"/>
      <c r="E14" s="16"/>
      <c r="F14" s="16"/>
      <c r="G14" s="17"/>
    </row>
    <row r="16" spans="1:7" x14ac:dyDescent="0.25">
      <c r="A16" s="6" t="s">
        <v>368</v>
      </c>
    </row>
    <row r="17" spans="1:11" x14ac:dyDescent="0.25">
      <c r="A17" t="s">
        <v>369</v>
      </c>
      <c r="B17" t="s">
        <v>372</v>
      </c>
      <c r="C17" s="18" t="s">
        <v>373</v>
      </c>
      <c r="D17" s="19"/>
      <c r="E17" s="19"/>
      <c r="F17" s="19"/>
      <c r="G17" s="20"/>
    </row>
    <row r="18" spans="1:11" x14ac:dyDescent="0.25">
      <c r="A18" t="s">
        <v>375</v>
      </c>
      <c r="B18" t="s">
        <v>376</v>
      </c>
      <c r="C18" s="15" t="s">
        <v>377</v>
      </c>
      <c r="D18" s="16"/>
      <c r="E18" s="16"/>
      <c r="F18" s="16"/>
      <c r="G18" s="16"/>
      <c r="H18" s="16"/>
      <c r="I18" s="16"/>
      <c r="J18" s="16"/>
      <c r="K18" s="17"/>
    </row>
    <row r="19" spans="1:11" x14ac:dyDescent="0.25">
      <c r="A19" t="s">
        <v>379</v>
      </c>
      <c r="B19" t="s">
        <v>379</v>
      </c>
      <c r="C19" s="18" t="s">
        <v>380</v>
      </c>
      <c r="D19" s="19"/>
      <c r="E19" s="19"/>
      <c r="F19" s="19"/>
      <c r="G19" s="20"/>
    </row>
  </sheetData>
  <mergeCells count="6">
    <mergeCell ref="C13:G13"/>
    <mergeCell ref="C12:G12"/>
    <mergeCell ref="C17:G17"/>
    <mergeCell ref="C18:K18"/>
    <mergeCell ref="C19:G19"/>
    <mergeCell ref="C14:G14"/>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0</xdr:col>
                    <xdr:colOff>0</xdr:colOff>
                    <xdr:row>1</xdr:row>
                    <xdr:rowOff>0</xdr:rowOff>
                  </from>
                  <to>
                    <xdr:col>0</xdr:col>
                    <xdr:colOff>2295525</xdr:colOff>
                    <xdr:row>2</xdr:row>
                    <xdr:rowOff>171450</xdr:rowOff>
                  </to>
                </anchor>
              </controlPr>
            </control>
          </mc:Choice>
        </mc:AlternateContent>
        <mc:AlternateContent xmlns:mc="http://schemas.openxmlformats.org/markup-compatibility/2006">
          <mc:Choice Requires="x14">
            <control shapeId="4098" r:id="rId5" name="Button 2">
              <controlPr defaultSize="0" print="0" autoFill="0" autoPict="0" macro="[0]!CmdCreateEntityModel">
                <anchor moveWithCells="1" sizeWithCells="1">
                  <from>
                    <xdr:col>0</xdr:col>
                    <xdr:colOff>0</xdr:colOff>
                    <xdr:row>3</xdr:row>
                    <xdr:rowOff>180975</xdr:rowOff>
                  </from>
                  <to>
                    <xdr:col>0</xdr:col>
                    <xdr:colOff>2295525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J37"/>
  <sheetViews>
    <sheetView topLeftCell="A10" workbookViewId="0">
      <selection activeCell="A21" sqref="A21"/>
    </sheetView>
  </sheetViews>
  <sheetFormatPr baseColWidth="10" defaultRowHeight="15" outlineLevelCol="1" x14ac:dyDescent="0.25"/>
  <cols>
    <col min="1" max="1" width="23" bestFit="1" customWidth="1"/>
    <col min="2" max="2" width="101.85546875" hidden="1" customWidth="1" outlineLevel="1"/>
    <col min="3" max="3" width="14" bestFit="1" customWidth="1" collapsed="1"/>
    <col min="4" max="4" width="20.5703125" bestFit="1" customWidth="1"/>
    <col min="5" max="5" width="13.5703125" customWidth="1"/>
    <col min="6" max="6" width="12.140625" bestFit="1" customWidth="1"/>
    <col min="7" max="7" width="12.42578125" customWidth="1"/>
    <col min="8" max="8" width="23" bestFit="1" customWidth="1"/>
    <col min="9" max="9" width="23.28515625" style="1" bestFit="1" customWidth="1"/>
  </cols>
  <sheetData>
    <row r="1" spans="1:10" s="1" customFormat="1" ht="30" x14ac:dyDescent="0.25">
      <c r="A1" s="1" t="s">
        <v>357</v>
      </c>
      <c r="B1" s="1" t="s">
        <v>3</v>
      </c>
      <c r="C1" s="1" t="s">
        <v>23</v>
      </c>
      <c r="D1" s="1" t="s">
        <v>329</v>
      </c>
      <c r="E1" s="1" t="s">
        <v>330</v>
      </c>
      <c r="F1" s="1" t="s">
        <v>336</v>
      </c>
      <c r="G1" s="1" t="s">
        <v>359</v>
      </c>
      <c r="H1" s="1" t="s">
        <v>355</v>
      </c>
      <c r="I1" s="1" t="s">
        <v>356</v>
      </c>
      <c r="J1" s="1" t="s">
        <v>240</v>
      </c>
    </row>
    <row r="2" spans="1:10" x14ac:dyDescent="0.25">
      <c r="A2" t="s">
        <v>337</v>
      </c>
      <c r="B2" s="1" t="s">
        <v>92</v>
      </c>
      <c r="C2" t="s">
        <v>147</v>
      </c>
      <c r="E2">
        <v>1</v>
      </c>
      <c r="F2" t="s">
        <v>20</v>
      </c>
      <c r="G2">
        <v>0</v>
      </c>
      <c r="H2" t="str">
        <f>"t"&amp;Tables[[#This Row],[Entity Name]]</f>
        <v>tCurrency</v>
      </c>
      <c r="I2" t="str">
        <f>"v"&amp;Tables[[#This Row],[Entity Name]]</f>
        <v>vCurrency</v>
      </c>
      <c r="J2" t="s">
        <v>239</v>
      </c>
    </row>
    <row r="3" spans="1:10" ht="30" x14ac:dyDescent="0.25">
      <c r="A3" t="s">
        <v>148</v>
      </c>
      <c r="B3" s="1" t="s">
        <v>151</v>
      </c>
      <c r="C3" t="s">
        <v>147</v>
      </c>
      <c r="E3">
        <v>2</v>
      </c>
      <c r="F3" t="s">
        <v>20</v>
      </c>
      <c r="G3">
        <v>0</v>
      </c>
      <c r="H3" t="str">
        <f>"t"&amp;Tables[[#This Row],[Entity Name]]</f>
        <v>tClient</v>
      </c>
      <c r="I3" t="str">
        <f>"v"&amp;Tables[[#This Row],[Entity Name]]</f>
        <v>vClient</v>
      </c>
      <c r="J3" t="s">
        <v>239</v>
      </c>
    </row>
    <row r="4" spans="1:10" x14ac:dyDescent="0.25">
      <c r="A4" t="s">
        <v>475</v>
      </c>
      <c r="B4" s="1"/>
      <c r="C4" t="s">
        <v>147</v>
      </c>
      <c r="E4">
        <v>3</v>
      </c>
      <c r="F4" t="s">
        <v>20</v>
      </c>
      <c r="G4">
        <v>0</v>
      </c>
      <c r="H4" t="str">
        <f>"t"&amp;Tables[[#This Row],[Entity Name]]</f>
        <v>tTypeGroupDef</v>
      </c>
      <c r="I4" t="str">
        <f>"v"&amp;Tables[[#This Row],[Entity Name]]</f>
        <v>vTypeGroupDef</v>
      </c>
      <c r="J4" t="s">
        <v>476</v>
      </c>
    </row>
    <row r="5" spans="1:10" x14ac:dyDescent="0.25">
      <c r="A5" t="s">
        <v>474</v>
      </c>
      <c r="B5" s="1" t="s">
        <v>182</v>
      </c>
      <c r="C5" t="s">
        <v>147</v>
      </c>
      <c r="E5">
        <v>4</v>
      </c>
      <c r="F5" t="s">
        <v>20</v>
      </c>
      <c r="G5">
        <v>0</v>
      </c>
      <c r="H5" t="str">
        <f>"t"&amp;Tables[[#This Row],[Entity Name]]</f>
        <v>tTypeCodeDef</v>
      </c>
      <c r="I5" t="str">
        <f>"v"&amp;Tables[[#This Row],[Entity Name]]</f>
        <v>vTypeCodeDef</v>
      </c>
      <c r="J5" t="s">
        <v>476</v>
      </c>
    </row>
    <row r="6" spans="1:10" x14ac:dyDescent="0.25">
      <c r="A6" t="s">
        <v>537</v>
      </c>
      <c r="B6" s="1" t="s">
        <v>538</v>
      </c>
      <c r="D6" t="s">
        <v>8</v>
      </c>
      <c r="E6">
        <v>5</v>
      </c>
      <c r="F6" t="s">
        <v>20</v>
      </c>
      <c r="G6">
        <v>0</v>
      </c>
      <c r="H6" s="7" t="str">
        <f>"t"&amp;Tables[[#This Row],[Entity Name]]</f>
        <v>tUser</v>
      </c>
      <c r="I6" s="8" t="str">
        <f>"v"&amp;Tables[[#This Row],[Entity Name]]</f>
        <v>vUser</v>
      </c>
      <c r="J6" t="s">
        <v>476</v>
      </c>
    </row>
    <row r="7" spans="1:10" ht="30" x14ac:dyDescent="0.25">
      <c r="A7" t="s">
        <v>549</v>
      </c>
      <c r="B7" s="1" t="s">
        <v>550</v>
      </c>
      <c r="D7" s="1" t="s">
        <v>551</v>
      </c>
      <c r="E7">
        <v>6</v>
      </c>
      <c r="F7" t="s">
        <v>20</v>
      </c>
      <c r="G7">
        <v>0</v>
      </c>
      <c r="H7" s="7" t="str">
        <f>"t"&amp;Tables[[#This Row],[Entity Name]]</f>
        <v>tSession</v>
      </c>
      <c r="I7" s="8" t="str">
        <f>"v"&amp;Tables[[#This Row],[Entity Name]]</f>
        <v>vSession</v>
      </c>
      <c r="J7" t="s">
        <v>476</v>
      </c>
    </row>
    <row r="8" spans="1:10" x14ac:dyDescent="0.25">
      <c r="A8" t="s">
        <v>775</v>
      </c>
      <c r="B8" s="1"/>
      <c r="D8" t="str">
        <f>"t"&amp;Tables[[#This Row],[Entity Name]]</f>
        <v>tJobReport</v>
      </c>
      <c r="E8">
        <v>7</v>
      </c>
      <c r="F8" t="s">
        <v>20</v>
      </c>
      <c r="G8">
        <v>0</v>
      </c>
      <c r="H8" s="7" t="str">
        <f>"t"&amp;Tables[[#This Row],[Entity Name]]</f>
        <v>tJobReport</v>
      </c>
      <c r="I8" s="8" t="str">
        <f>"v"&amp;Tables[[#This Row],[Entity Name]]</f>
        <v>vJobReport</v>
      </c>
      <c r="J8" t="s">
        <v>239</v>
      </c>
    </row>
    <row r="9" spans="1:10" x14ac:dyDescent="0.25">
      <c r="A9" t="s">
        <v>776</v>
      </c>
      <c r="B9" s="1"/>
      <c r="D9" t="str">
        <f>"t"&amp;Tables[[#This Row],[Entity Name]]</f>
        <v>tJobReportItem</v>
      </c>
      <c r="E9">
        <v>8</v>
      </c>
      <c r="F9" t="s">
        <v>20</v>
      </c>
      <c r="G9">
        <v>0</v>
      </c>
      <c r="H9" s="7" t="str">
        <f>"t"&amp;Tables[[#This Row],[Entity Name]]</f>
        <v>tJobReportItem</v>
      </c>
      <c r="I9" s="8" t="str">
        <f>"v"&amp;Tables[[#This Row],[Entity Name]]</f>
        <v>vJobReportItem</v>
      </c>
      <c r="J9" t="s">
        <v>239</v>
      </c>
    </row>
    <row r="10" spans="1:10" x14ac:dyDescent="0.25">
      <c r="A10" t="s">
        <v>340</v>
      </c>
      <c r="B10" s="1" t="s">
        <v>167</v>
      </c>
      <c r="C10" t="s">
        <v>148</v>
      </c>
      <c r="D10" t="s">
        <v>8</v>
      </c>
      <c r="E10">
        <v>10</v>
      </c>
      <c r="F10" t="s">
        <v>20</v>
      </c>
      <c r="G10">
        <v>0</v>
      </c>
      <c r="H10" t="str">
        <f>"t"&amp;Tables[[#This Row],[Entity Name]]</f>
        <v>tAccountGroup</v>
      </c>
      <c r="I10" t="str">
        <f>"v"&amp;Tables[[#This Row],[Entity Name]]</f>
        <v>vAccountGroup</v>
      </c>
      <c r="J10" t="s">
        <v>239</v>
      </c>
    </row>
    <row r="11" spans="1:10" ht="30" x14ac:dyDescent="0.25">
      <c r="A11" t="s">
        <v>339</v>
      </c>
      <c r="B11" s="1" t="s">
        <v>150</v>
      </c>
      <c r="C11" t="s">
        <v>148</v>
      </c>
      <c r="D11" s="1" t="s">
        <v>468</v>
      </c>
      <c r="E11">
        <v>11</v>
      </c>
      <c r="F11" t="s">
        <v>20</v>
      </c>
      <c r="G11">
        <v>0</v>
      </c>
      <c r="H11" t="str">
        <f>"t"&amp;Tables[[#This Row],[Entity Name]]</f>
        <v>tAccount</v>
      </c>
      <c r="I11" t="str">
        <f>"v"&amp;Tables[[#This Row],[Entity Name]]</f>
        <v>vAccount</v>
      </c>
      <c r="J11" t="s">
        <v>239</v>
      </c>
    </row>
    <row r="12" spans="1:10" ht="30" x14ac:dyDescent="0.25">
      <c r="A12" t="s">
        <v>338</v>
      </c>
      <c r="B12" s="1" t="s">
        <v>160</v>
      </c>
      <c r="C12" t="s">
        <v>148</v>
      </c>
      <c r="D12" s="1" t="s">
        <v>799</v>
      </c>
      <c r="E12" s="1">
        <v>12</v>
      </c>
      <c r="F12" t="s">
        <v>20</v>
      </c>
      <c r="G12">
        <v>0</v>
      </c>
      <c r="H12" s="1" t="str">
        <f>"t"&amp;Tables[[#This Row],[Entity Name]]</f>
        <v>tPlanAccountFunction</v>
      </c>
      <c r="I12" s="1" t="str">
        <f>"v"&amp;Tables[[#This Row],[Entity Name]]</f>
        <v>vPlanAccountFunction</v>
      </c>
      <c r="J12" t="s">
        <v>239</v>
      </c>
    </row>
    <row r="13" spans="1:10" x14ac:dyDescent="0.25">
      <c r="A13" t="s">
        <v>341</v>
      </c>
      <c r="B13" s="1" t="s">
        <v>34</v>
      </c>
      <c r="C13" t="s">
        <v>148</v>
      </c>
      <c r="D13" t="s">
        <v>8</v>
      </c>
      <c r="E13">
        <v>15</v>
      </c>
      <c r="F13" t="s">
        <v>20</v>
      </c>
      <c r="G13">
        <v>0</v>
      </c>
      <c r="H13" t="str">
        <f>"t"&amp;Tables[[#This Row],[Entity Name]]</f>
        <v>tCostCenter</v>
      </c>
      <c r="I13" t="str">
        <f>"v"&amp;Tables[[#This Row],[Entity Name]]</f>
        <v>vCostCenter</v>
      </c>
      <c r="J13" t="s">
        <v>239</v>
      </c>
    </row>
    <row r="14" spans="1:10" ht="30" x14ac:dyDescent="0.25">
      <c r="A14" t="s">
        <v>342</v>
      </c>
      <c r="B14" s="1" t="s">
        <v>520</v>
      </c>
      <c r="C14" t="s">
        <v>148</v>
      </c>
      <c r="D14" t="s">
        <v>8</v>
      </c>
      <c r="E14">
        <v>23</v>
      </c>
      <c r="F14" t="s">
        <v>20</v>
      </c>
      <c r="G14">
        <v>0</v>
      </c>
      <c r="H14" t="str">
        <f>"t"&amp;Tables[[#This Row],[Entity Name]]</f>
        <v>tDepreciationRule</v>
      </c>
      <c r="I14" t="str">
        <f>"v"&amp;Tables[[#This Row],[Entity Name]]</f>
        <v>vDepreciationRule</v>
      </c>
      <c r="J14" t="s">
        <v>239</v>
      </c>
    </row>
    <row r="15" spans="1:10" x14ac:dyDescent="0.25">
      <c r="A15" t="s">
        <v>343</v>
      </c>
      <c r="B15" s="1" t="s">
        <v>91</v>
      </c>
      <c r="C15" t="s">
        <v>148</v>
      </c>
      <c r="D15" t="s">
        <v>8</v>
      </c>
      <c r="E15">
        <v>24</v>
      </c>
      <c r="F15" t="s">
        <v>20</v>
      </c>
      <c r="G15">
        <v>0</v>
      </c>
      <c r="H15" t="str">
        <f>"t"&amp;Tables[[#This Row],[Entity Name]]</f>
        <v>tVATRule</v>
      </c>
      <c r="I15" t="str">
        <f>"v"&amp;Tables[[#This Row],[Entity Name]]</f>
        <v>vVATRule</v>
      </c>
      <c r="J15" t="s">
        <v>239</v>
      </c>
    </row>
    <row r="16" spans="1:10" x14ac:dyDescent="0.25">
      <c r="A16" t="s">
        <v>344</v>
      </c>
      <c r="B16" s="1" t="s">
        <v>276</v>
      </c>
      <c r="C16" t="s">
        <v>148</v>
      </c>
      <c r="D16" t="s">
        <v>8</v>
      </c>
      <c r="E16">
        <v>25</v>
      </c>
      <c r="F16" t="s">
        <v>20</v>
      </c>
      <c r="G16">
        <v>0</v>
      </c>
      <c r="H16" t="str">
        <f>"t"&amp;Tables[[#This Row],[Entity Name]]</f>
        <v>tReferenceGroup</v>
      </c>
      <c r="I16" t="str">
        <f>"v"&amp;Tables[[#This Row],[Entity Name]]</f>
        <v>vReferenceGroup</v>
      </c>
      <c r="J16" t="s">
        <v>239</v>
      </c>
    </row>
    <row r="17" spans="1:10" ht="30" x14ac:dyDescent="0.25">
      <c r="A17" t="s">
        <v>292</v>
      </c>
      <c r="B17" s="1" t="s">
        <v>163</v>
      </c>
      <c r="D17" t="s">
        <v>249</v>
      </c>
      <c r="E17">
        <v>26</v>
      </c>
      <c r="F17" t="s">
        <v>20</v>
      </c>
      <c r="G17">
        <v>0</v>
      </c>
      <c r="H17" t="str">
        <f>"t"&amp;Tables[[#This Row],[Entity Name]]</f>
        <v>tReferenceCode</v>
      </c>
      <c r="I17" t="str">
        <f>"v"&amp;Tables[[#This Row],[Entity Name]]</f>
        <v>vReferenceCode</v>
      </c>
      <c r="J17" t="s">
        <v>239</v>
      </c>
    </row>
    <row r="18" spans="1:10" x14ac:dyDescent="0.25">
      <c r="A18" t="s">
        <v>345</v>
      </c>
      <c r="B18" s="1" t="s">
        <v>205</v>
      </c>
      <c r="D18" t="s">
        <v>8</v>
      </c>
      <c r="E18">
        <v>27</v>
      </c>
      <c r="F18" t="s">
        <v>20</v>
      </c>
      <c r="G18">
        <v>0</v>
      </c>
      <c r="H18" t="str">
        <f>"t"&amp;Tables[[#This Row],[Entity Name]]</f>
        <v>tBookingRun</v>
      </c>
      <c r="I18" t="str">
        <f>"v"&amp;Tables[[#This Row],[Entity Name]]</f>
        <v>vBookingRun</v>
      </c>
      <c r="J18" t="s">
        <v>239</v>
      </c>
    </row>
    <row r="19" spans="1:10" ht="45" x14ac:dyDescent="0.25">
      <c r="A19" t="s">
        <v>346</v>
      </c>
      <c r="B19" s="1" t="s">
        <v>36</v>
      </c>
      <c r="D19" t="s">
        <v>8</v>
      </c>
      <c r="E19">
        <v>30</v>
      </c>
      <c r="F19" t="s">
        <v>20</v>
      </c>
      <c r="G19">
        <v>0</v>
      </c>
      <c r="H19" t="str">
        <f>"t"&amp;Tables[[#This Row],[Entity Name]]</f>
        <v>tPlan</v>
      </c>
      <c r="I19" t="str">
        <f>"v"&amp;Tables[[#This Row],[Entity Name]]</f>
        <v>vPlan</v>
      </c>
      <c r="J19" t="s">
        <v>239</v>
      </c>
    </row>
    <row r="20" spans="1:10" ht="30" x14ac:dyDescent="0.25">
      <c r="A20" t="s">
        <v>348</v>
      </c>
      <c r="B20" s="1" t="s">
        <v>51</v>
      </c>
      <c r="D20" t="s">
        <v>8</v>
      </c>
      <c r="E20">
        <v>31</v>
      </c>
      <c r="F20" t="s">
        <v>20</v>
      </c>
      <c r="G20">
        <v>0</v>
      </c>
      <c r="H20" t="str">
        <f>"t"&amp;Tables[[#This Row],[Entity Name]]</f>
        <v>tPlanGroup</v>
      </c>
      <c r="I20" t="str">
        <f>"v"&amp;Tables[[#This Row],[Entity Name]]</f>
        <v>vPlanGroup</v>
      </c>
      <c r="J20" t="s">
        <v>239</v>
      </c>
    </row>
    <row r="21" spans="1:10" ht="60" x14ac:dyDescent="0.25">
      <c r="A21" t="s">
        <v>347</v>
      </c>
      <c r="B21" s="1" t="s">
        <v>50</v>
      </c>
      <c r="D21" t="s">
        <v>8</v>
      </c>
      <c r="E21">
        <v>32</v>
      </c>
      <c r="F21" t="s">
        <v>20</v>
      </c>
      <c r="G21">
        <v>0</v>
      </c>
      <c r="H21" t="str">
        <f>"t"&amp;Tables[[#This Row],[Entity Name]]</f>
        <v>tPlanElement</v>
      </c>
      <c r="I21" t="str">
        <f>"v"&amp;Tables[[#This Row],[Entity Name]]</f>
        <v>vPlanElement</v>
      </c>
      <c r="J21" t="s">
        <v>239</v>
      </c>
    </row>
    <row r="22" spans="1:10" x14ac:dyDescent="0.25">
      <c r="A22" t="s">
        <v>457</v>
      </c>
      <c r="B22" s="1" t="s">
        <v>458</v>
      </c>
      <c r="D22" t="s">
        <v>35</v>
      </c>
      <c r="E22">
        <v>35</v>
      </c>
      <c r="F22" t="s">
        <v>20</v>
      </c>
      <c r="G22">
        <v>0</v>
      </c>
      <c r="H22" s="7" t="str">
        <f>"t"&amp;Tables[[#This Row],[Entity Name]]</f>
        <v>tPlanInflationRule</v>
      </c>
      <c r="I22" s="8" t="str">
        <f>"v"&amp;Tables[[#This Row],[Entity Name]]</f>
        <v>vPlanInflationRule</v>
      </c>
      <c r="J22" t="s">
        <v>239</v>
      </c>
    </row>
    <row r="23" spans="1:10" ht="30" x14ac:dyDescent="0.25">
      <c r="A23" t="s">
        <v>521</v>
      </c>
      <c r="B23" s="1" t="s">
        <v>111</v>
      </c>
      <c r="D23" s="1" t="s">
        <v>805</v>
      </c>
      <c r="E23">
        <v>40</v>
      </c>
      <c r="F23" t="s">
        <v>20</v>
      </c>
      <c r="G23">
        <v>0</v>
      </c>
      <c r="H23" t="str">
        <f>"t"&amp;Tables[[#This Row],[Entity Name]]</f>
        <v>tCurrencyExchangeRate</v>
      </c>
      <c r="I23" t="str">
        <f>"v"&amp;Tables[[#This Row],[Entity Name]]</f>
        <v>vCurrencyExchangeRate</v>
      </c>
      <c r="J23" t="s">
        <v>239</v>
      </c>
    </row>
    <row r="24" spans="1:10" ht="45" x14ac:dyDescent="0.25">
      <c r="A24" t="s">
        <v>351</v>
      </c>
      <c r="B24" s="1" t="s">
        <v>140</v>
      </c>
      <c r="D24" t="s">
        <v>35</v>
      </c>
      <c r="E24">
        <v>45</v>
      </c>
      <c r="F24" t="s">
        <v>20</v>
      </c>
      <c r="G24">
        <v>0</v>
      </c>
      <c r="H24" t="str">
        <f>"t"&amp;Tables[[#This Row],[Entity Name]]</f>
        <v>tPlanParameter</v>
      </c>
      <c r="I24" t="str">
        <f>"v"&amp;Tables[[#This Row],[Entity Name]]</f>
        <v>vPlanParameter</v>
      </c>
      <c r="J24" t="s">
        <v>239</v>
      </c>
    </row>
    <row r="25" spans="1:10" ht="60" x14ac:dyDescent="0.25">
      <c r="A25" t="s">
        <v>349</v>
      </c>
      <c r="B25" s="1" t="s">
        <v>90</v>
      </c>
      <c r="D25" t="s">
        <v>35</v>
      </c>
      <c r="E25">
        <v>50</v>
      </c>
      <c r="F25" t="s">
        <v>20</v>
      </c>
      <c r="G25">
        <v>0</v>
      </c>
      <c r="H25" t="str">
        <f>"t"&amp;Tables[[#This Row],[Entity Name]]</f>
        <v>tPlanAllocationSchedule</v>
      </c>
      <c r="I25" t="str">
        <f>"v"&amp;Tables[[#This Row],[Entity Name]]</f>
        <v>vPlanAllocationSchedule</v>
      </c>
      <c r="J25" t="s">
        <v>239</v>
      </c>
    </row>
    <row r="26" spans="1:10" x14ac:dyDescent="0.25">
      <c r="A26" t="s">
        <v>427</v>
      </c>
      <c r="B26" s="1" t="s">
        <v>428</v>
      </c>
      <c r="D26" t="s">
        <v>63</v>
      </c>
      <c r="E26">
        <v>51</v>
      </c>
      <c r="F26" t="s">
        <v>20</v>
      </c>
      <c r="G26">
        <v>0</v>
      </c>
      <c r="H26" t="str">
        <f>"t"&amp;Tables[[#This Row],[Entity Name]]</f>
        <v>tPlanAllocationScheduleItems</v>
      </c>
      <c r="I26" t="str">
        <f>"v"&amp;Tables[[#This Row],[Entity Name]]</f>
        <v>vPlanAllocationScheduleItems</v>
      </c>
      <c r="J26" t="s">
        <v>239</v>
      </c>
    </row>
    <row r="27" spans="1:10" x14ac:dyDescent="0.25">
      <c r="A27" t="s">
        <v>705</v>
      </c>
      <c r="B27" s="1" t="s">
        <v>660</v>
      </c>
      <c r="D27" t="s">
        <v>35</v>
      </c>
      <c r="E27">
        <v>52</v>
      </c>
      <c r="F27" t="s">
        <v>20</v>
      </c>
      <c r="G27">
        <v>0</v>
      </c>
      <c r="H27" s="7" t="str">
        <f>"t"&amp;Tables[[#This Row],[Entity Name]]</f>
        <v>tPlanHRTariff</v>
      </c>
      <c r="I27" s="8" t="str">
        <f>"v"&amp;Tables[[#This Row],[Entity Name]]</f>
        <v>vPlanHRTariff</v>
      </c>
      <c r="J27" t="s">
        <v>476</v>
      </c>
    </row>
    <row r="28" spans="1:10" x14ac:dyDescent="0.25">
      <c r="A28" t="s">
        <v>706</v>
      </c>
      <c r="B28" s="1" t="s">
        <v>660</v>
      </c>
      <c r="D28" t="s">
        <v>709</v>
      </c>
      <c r="E28">
        <v>53</v>
      </c>
      <c r="F28" t="s">
        <v>20</v>
      </c>
      <c r="G28">
        <v>0</v>
      </c>
      <c r="H28" s="7" t="str">
        <f>"t"&amp;Tables[[#This Row],[Entity Name]]</f>
        <v>tPlanHRTariffDetail</v>
      </c>
      <c r="I28" s="8" t="str">
        <f>"v"&amp;Tables[[#This Row],[Entity Name]]</f>
        <v>vPlanHRTariffDetail</v>
      </c>
      <c r="J28" t="s">
        <v>476</v>
      </c>
    </row>
    <row r="29" spans="1:10" ht="30" x14ac:dyDescent="0.25">
      <c r="A29" t="s">
        <v>723</v>
      </c>
      <c r="B29" s="1" t="s">
        <v>661</v>
      </c>
      <c r="D29" t="s">
        <v>35</v>
      </c>
      <c r="E29">
        <v>54</v>
      </c>
      <c r="F29" t="s">
        <v>20</v>
      </c>
      <c r="G29">
        <v>0</v>
      </c>
      <c r="H29" s="7" t="str">
        <f>"t"&amp;Tables[[#This Row],[Entity Name]]</f>
        <v>tPlanHRExpenseGroup</v>
      </c>
      <c r="I29" s="8" t="str">
        <f>"v"&amp;Tables[[#This Row],[Entity Name]]</f>
        <v>vPlanHRExpenseGroup</v>
      </c>
      <c r="J29" t="s">
        <v>476</v>
      </c>
    </row>
    <row r="30" spans="1:10" x14ac:dyDescent="0.25">
      <c r="A30" t="s">
        <v>707</v>
      </c>
      <c r="B30" s="1"/>
      <c r="D30" s="7" t="s">
        <v>724</v>
      </c>
      <c r="E30">
        <v>55</v>
      </c>
      <c r="F30" t="s">
        <v>20</v>
      </c>
      <c r="G30">
        <v>0</v>
      </c>
      <c r="H30" s="7" t="str">
        <f>"t"&amp;Tables[[#This Row],[Entity Name]]</f>
        <v>tPlanHRExpense</v>
      </c>
      <c r="I30" s="8" t="str">
        <f>"v"&amp;Tables[[#This Row],[Entity Name]]</f>
        <v>vPlanHRExpense</v>
      </c>
      <c r="J30" t="s">
        <v>476</v>
      </c>
    </row>
    <row r="31" spans="1:10" ht="30" x14ac:dyDescent="0.25">
      <c r="A31" t="s">
        <v>350</v>
      </c>
      <c r="B31" s="1" t="s">
        <v>118</v>
      </c>
      <c r="D31" s="1" t="s">
        <v>469</v>
      </c>
      <c r="E31">
        <v>56</v>
      </c>
      <c r="F31" t="s">
        <v>20</v>
      </c>
      <c r="G31">
        <v>0</v>
      </c>
      <c r="H31" t="str">
        <f>"t"&amp;Tables[[#This Row],[Entity Name]]</f>
        <v>tPlanElementInstance</v>
      </c>
      <c r="I31" t="str">
        <f>"v"&amp;Tables[[#This Row],[Entity Name]]</f>
        <v>vPlanElementInstance</v>
      </c>
      <c r="J31" t="s">
        <v>239</v>
      </c>
    </row>
    <row r="32" spans="1:10" x14ac:dyDescent="0.25">
      <c r="A32" t="s">
        <v>658</v>
      </c>
      <c r="B32" s="1" t="s">
        <v>52</v>
      </c>
      <c r="D32" t="s">
        <v>117</v>
      </c>
      <c r="E32">
        <v>60</v>
      </c>
      <c r="F32" t="s">
        <v>20</v>
      </c>
      <c r="G32">
        <v>0</v>
      </c>
      <c r="H32" t="str">
        <f>"t"&amp;Tables[[#This Row],[Entity Name]]</f>
        <v>tPlanElementContract</v>
      </c>
      <c r="I32" t="str">
        <f>"v"&amp;Tables[[#This Row],[Entity Name]]</f>
        <v>vPlanElementContract</v>
      </c>
      <c r="J32" t="s">
        <v>239</v>
      </c>
    </row>
    <row r="33" spans="1:10" x14ac:dyDescent="0.25">
      <c r="A33" t="s">
        <v>646</v>
      </c>
      <c r="B33" s="1" t="s">
        <v>647</v>
      </c>
      <c r="D33" t="s">
        <v>117</v>
      </c>
      <c r="E33">
        <v>61</v>
      </c>
      <c r="F33" t="s">
        <v>20</v>
      </c>
      <c r="G33">
        <v>0</v>
      </c>
      <c r="H33" t="str">
        <f>"t"&amp;Tables[[#This Row],[Entity Name]]</f>
        <v>tPlanElementBooking</v>
      </c>
      <c r="I33" t="str">
        <f>"v"&amp;Tables[[#This Row],[Entity Name]]</f>
        <v>vPlanElementBooking</v>
      </c>
      <c r="J33" t="s">
        <v>239</v>
      </c>
    </row>
    <row r="34" spans="1:10" x14ac:dyDescent="0.25">
      <c r="A34" t="s">
        <v>708</v>
      </c>
      <c r="B34" s="1" t="s">
        <v>659</v>
      </c>
      <c r="D34" t="s">
        <v>117</v>
      </c>
      <c r="E34">
        <v>62</v>
      </c>
      <c r="F34" t="s">
        <v>20</v>
      </c>
      <c r="G34">
        <v>0</v>
      </c>
      <c r="H34" s="7" t="str">
        <f>"t"&amp;Tables[[#This Row],[Entity Name]]</f>
        <v>tPlanElementHR</v>
      </c>
      <c r="I34" s="8" t="str">
        <f>"v"&amp;Tables[[#This Row],[Entity Name]]</f>
        <v>vPlanElementHR</v>
      </c>
      <c r="J34" t="s">
        <v>476</v>
      </c>
    </row>
    <row r="35" spans="1:10" ht="30" x14ac:dyDescent="0.25">
      <c r="A35" t="s">
        <v>352</v>
      </c>
      <c r="B35" s="1" t="s">
        <v>165</v>
      </c>
      <c r="D35" t="s">
        <v>35</v>
      </c>
      <c r="E35">
        <v>65</v>
      </c>
      <c r="F35" t="s">
        <v>20</v>
      </c>
      <c r="G35">
        <v>0</v>
      </c>
      <c r="H35" t="str">
        <f>"t"&amp;Tables[[#This Row],[Entity Name]]</f>
        <v>tPlanTransaction</v>
      </c>
      <c r="I35" t="str">
        <f>"v"&amp;Tables[[#This Row],[Entity Name]]</f>
        <v>vPlanTransaction</v>
      </c>
      <c r="J35" t="s">
        <v>239</v>
      </c>
    </row>
    <row r="36" spans="1:10" ht="30" x14ac:dyDescent="0.25">
      <c r="A36" t="s">
        <v>353</v>
      </c>
      <c r="B36" s="1" t="s">
        <v>161</v>
      </c>
      <c r="D36" t="s">
        <v>204</v>
      </c>
      <c r="E36">
        <v>70</v>
      </c>
      <c r="F36" t="s">
        <v>20</v>
      </c>
      <c r="G36">
        <v>0</v>
      </c>
      <c r="H36" t="str">
        <f>"t"&amp;Tables[[#This Row],[Entity Name]]</f>
        <v>tBookRecord</v>
      </c>
      <c r="I36" t="str">
        <f>"v"&amp;Tables[[#This Row],[Entity Name]]</f>
        <v>vBookRecord</v>
      </c>
      <c r="J36" t="s">
        <v>239</v>
      </c>
    </row>
    <row r="37" spans="1:10" ht="30" x14ac:dyDescent="0.25">
      <c r="A37" t="s">
        <v>354</v>
      </c>
      <c r="B37" s="1" t="s">
        <v>162</v>
      </c>
      <c r="D37" t="s">
        <v>157</v>
      </c>
      <c r="E37">
        <v>71</v>
      </c>
      <c r="F37" t="s">
        <v>20</v>
      </c>
      <c r="G37">
        <v>0</v>
      </c>
      <c r="H37" t="str">
        <f>"t"&amp;Tables[[#This Row],[Entity Name]]</f>
        <v>tBookTransaction</v>
      </c>
      <c r="I37" t="str">
        <f>"v"&amp;Tables[[#This Row],[Entity Name]]</f>
        <v>vBookTransaction</v>
      </c>
      <c r="J37" t="s">
        <v>239</v>
      </c>
    </row>
  </sheetData>
  <dataValidations count="2">
    <dataValidation type="list" allowBlank="1" showInputMessage="1" showErrorMessage="1" sqref="F2:F37" xr:uid="{076D77D5-9704-4063-8413-430C44FC1DFF}">
      <formula1>"Yes"</formula1>
    </dataValidation>
    <dataValidation type="list" allowBlank="1" showInputMessage="1" showErrorMessage="1" sqref="J2:J37" xr:uid="{009E70E0-7798-49BC-9AA7-F1A948EAF37F}">
      <formula1>"CREATE,NEW,UPDATE,PLAN,DELETE"</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V282"/>
  <sheetViews>
    <sheetView tabSelected="1" topLeftCell="A34" zoomScale="90" zoomScaleNormal="90" workbookViewId="0">
      <selection activeCell="H54" sqref="H54"/>
    </sheetView>
  </sheetViews>
  <sheetFormatPr baseColWidth="10" defaultRowHeight="15" outlineLevelCol="1" x14ac:dyDescent="0.25"/>
  <cols>
    <col min="1" max="1" width="5.5703125" customWidth="1"/>
    <col min="2" max="2" width="28.140625" bestFit="1" customWidth="1"/>
    <col min="3" max="3" width="20" customWidth="1"/>
    <col min="4" max="4" width="89" hidden="1" customWidth="1" outlineLevel="1"/>
    <col min="5" max="5" width="17.28515625" bestFit="1" customWidth="1" collapsed="1"/>
    <col min="6" max="6" width="16" bestFit="1" customWidth="1"/>
    <col min="7" max="7" width="7" bestFit="1" customWidth="1"/>
    <col min="8" max="8" width="10.85546875" bestFit="1" customWidth="1"/>
    <col min="9" max="9" width="15.42578125" bestFit="1" customWidth="1"/>
    <col min="10" max="10" width="10" bestFit="1" customWidth="1"/>
    <col min="11" max="11" width="17.7109375" style="1" customWidth="1"/>
    <col min="12" max="12" width="23" bestFit="1" customWidth="1"/>
    <col min="13" max="13" width="17.28515625" bestFit="1" customWidth="1"/>
    <col min="14" max="14" width="17.28515625" customWidth="1"/>
    <col min="15" max="15" width="16.5703125" bestFit="1" customWidth="1"/>
    <col min="16" max="16" width="29" bestFit="1" customWidth="1"/>
    <col min="18" max="19" width="19.42578125" style="1" bestFit="1" customWidth="1"/>
    <col min="20" max="20" width="17.28515625" bestFit="1" customWidth="1"/>
  </cols>
  <sheetData>
    <row r="1" spans="1:22" ht="30" x14ac:dyDescent="0.25">
      <c r="A1" t="s">
        <v>123</v>
      </c>
      <c r="B1" t="s">
        <v>0</v>
      </c>
      <c r="C1" t="s">
        <v>1</v>
      </c>
      <c r="D1" s="1" t="s">
        <v>3</v>
      </c>
      <c r="E1" s="1" t="s">
        <v>31</v>
      </c>
      <c r="F1" s="1" t="s">
        <v>238</v>
      </c>
      <c r="G1" t="s">
        <v>24</v>
      </c>
      <c r="H1" t="s">
        <v>2</v>
      </c>
      <c r="I1" t="s">
        <v>13</v>
      </c>
      <c r="J1" t="s">
        <v>170</v>
      </c>
      <c r="K1" s="1" t="s">
        <v>132</v>
      </c>
      <c r="L1" s="1" t="s">
        <v>407</v>
      </c>
      <c r="M1" t="s">
        <v>408</v>
      </c>
      <c r="N1" t="s">
        <v>409</v>
      </c>
      <c r="O1" t="s">
        <v>142</v>
      </c>
      <c r="P1" t="s">
        <v>48</v>
      </c>
      <c r="Q1" t="s">
        <v>248</v>
      </c>
      <c r="R1" t="s">
        <v>278</v>
      </c>
      <c r="S1" t="s">
        <v>358</v>
      </c>
      <c r="T1" t="s">
        <v>362</v>
      </c>
      <c r="U1" t="s">
        <v>363</v>
      </c>
      <c r="V1" t="s">
        <v>328</v>
      </c>
    </row>
    <row r="2" spans="1:22" x14ac:dyDescent="0.25">
      <c r="A2">
        <v>1</v>
      </c>
      <c r="B2" t="s">
        <v>146</v>
      </c>
      <c r="C2" t="s">
        <v>5</v>
      </c>
      <c r="D2" s="1" t="s">
        <v>175</v>
      </c>
      <c r="E2" t="s">
        <v>498</v>
      </c>
      <c r="F2" t="s">
        <v>497</v>
      </c>
      <c r="G2" s="2"/>
      <c r="L2" s="1" t="s">
        <v>148</v>
      </c>
      <c r="M2" t="str">
        <f>IF(Fields[[#This Row],[Reference Entity]]&lt;&gt;"","t" &amp;Fields[[#This Row],[Reference Entity]],"")</f>
        <v>tClient</v>
      </c>
      <c r="N2" t="str">
        <f>IF(Fields[[#This Row],[Reference Entity]]&lt;&gt;"",RIGHT(Fields[[#This Row],[Column Name]],LEN(Fields[[#This Row],[Column Name]])-2),"")</f>
        <v>Client</v>
      </c>
      <c r="O2" t="s">
        <v>143</v>
      </c>
      <c r="P2" s="1"/>
      <c r="Q2" t="s">
        <v>25</v>
      </c>
      <c r="R2" t="s">
        <v>20</v>
      </c>
      <c r="S2"/>
      <c r="V2" s="1"/>
    </row>
    <row r="3" spans="1:22" ht="30" x14ac:dyDescent="0.25">
      <c r="A3">
        <v>2</v>
      </c>
      <c r="B3" t="s">
        <v>146</v>
      </c>
      <c r="C3" t="s">
        <v>168</v>
      </c>
      <c r="D3" s="1" t="s">
        <v>176</v>
      </c>
      <c r="E3" t="s">
        <v>498</v>
      </c>
      <c r="F3" t="s">
        <v>497</v>
      </c>
      <c r="G3" s="2"/>
      <c r="H3" t="s">
        <v>20</v>
      </c>
      <c r="L3" s="1" t="s">
        <v>340</v>
      </c>
      <c r="M3" t="str">
        <f>IF(Fields[[#This Row],[Reference Entity]]&lt;&gt;"","t" &amp;Fields[[#This Row],[Reference Entity]],"")</f>
        <v>tAccountGroup</v>
      </c>
      <c r="N3" t="str">
        <f>IF(Fields[[#This Row],[Reference Entity]]&lt;&gt;"",RIGHT(Fields[[#This Row],[Column Name]],LEN(Fields[[#This Row],[Column Name]])-2),"")</f>
        <v>AccountGroup</v>
      </c>
      <c r="P3" s="1"/>
      <c r="Q3" t="str">
        <f>Fields[[#This Row],[Column Name]]</f>
        <v>idAccountGroup</v>
      </c>
      <c r="R3"/>
      <c r="S3"/>
      <c r="V3" s="1"/>
    </row>
    <row r="4" spans="1:22" ht="30" x14ac:dyDescent="0.25">
      <c r="A4">
        <v>3</v>
      </c>
      <c r="B4" t="s">
        <v>146</v>
      </c>
      <c r="C4" t="s">
        <v>169</v>
      </c>
      <c r="D4" s="1" t="s">
        <v>177</v>
      </c>
      <c r="E4" t="s">
        <v>498</v>
      </c>
      <c r="F4" t="s">
        <v>497</v>
      </c>
      <c r="G4" s="2"/>
      <c r="H4" t="s">
        <v>20</v>
      </c>
      <c r="L4" s="1" t="s">
        <v>339</v>
      </c>
      <c r="M4" t="str">
        <f>IF(Fields[[#This Row],[Reference Entity]]&lt;&gt;"","t" &amp;Fields[[#This Row],[Reference Entity]],"")</f>
        <v>tAccount</v>
      </c>
      <c r="N4" t="str">
        <f>IF(Fields[[#This Row],[Reference Entity]]&lt;&gt;"",RIGHT(Fields[[#This Row],[Column Name]],LEN(Fields[[#This Row],[Column Name]])-2),"")</f>
        <v>AccountReporting</v>
      </c>
      <c r="P4" s="1"/>
      <c r="Q4" t="str">
        <f>Fields[[#This Row],[Column Name]]</f>
        <v>idAccountReporting</v>
      </c>
      <c r="R4"/>
      <c r="S4"/>
      <c r="U4" t="s">
        <v>388</v>
      </c>
      <c r="V4" s="1"/>
    </row>
    <row r="5" spans="1:22" x14ac:dyDescent="0.25">
      <c r="A5">
        <v>4</v>
      </c>
      <c r="B5" t="s">
        <v>146</v>
      </c>
      <c r="C5" t="s">
        <v>287</v>
      </c>
      <c r="D5" s="1" t="s">
        <v>178</v>
      </c>
      <c r="E5" t="s">
        <v>16</v>
      </c>
      <c r="F5" t="s">
        <v>4</v>
      </c>
      <c r="G5" s="2"/>
      <c r="J5" s="4" t="s">
        <v>171</v>
      </c>
      <c r="L5" s="1" t="s">
        <v>389</v>
      </c>
      <c r="M5" t="str">
        <f>IF(Fields[[#This Row],[Reference Entity]]&lt;&gt;"","t" &amp;Fields[[#This Row],[Reference Entity]],"")</f>
        <v/>
      </c>
      <c r="N5" t="str">
        <f>IF(Fields[[#This Row],[Reference Entity]]&lt;&gt;"",RIGHT(Fields[[#This Row],[Column Name]],LEN(Fields[[#This Row],[Column Name]])-2),"")</f>
        <v/>
      </c>
      <c r="P5" s="1"/>
      <c r="Q5" t="s">
        <v>25</v>
      </c>
      <c r="R5" t="s">
        <v>20</v>
      </c>
      <c r="S5"/>
      <c r="V5" s="1"/>
    </row>
    <row r="6" spans="1:22" ht="30" x14ac:dyDescent="0.25">
      <c r="A6">
        <v>5</v>
      </c>
      <c r="B6" t="s">
        <v>146</v>
      </c>
      <c r="C6" t="s">
        <v>172</v>
      </c>
      <c r="D6" s="1" t="s">
        <v>179</v>
      </c>
      <c r="E6" t="s">
        <v>124</v>
      </c>
      <c r="F6" t="s">
        <v>236</v>
      </c>
      <c r="G6" s="2"/>
      <c r="I6">
        <v>0</v>
      </c>
      <c r="K6" s="5" t="s">
        <v>488</v>
      </c>
      <c r="L6" s="1" t="s">
        <v>389</v>
      </c>
      <c r="M6" t="str">
        <f>IF(Fields[[#This Row],[Reference Entity]]&lt;&gt;"","t" &amp;Fields[[#This Row],[Reference Entity]],"")</f>
        <v/>
      </c>
      <c r="N6" t="str">
        <f>IF(Fields[[#This Row],[Reference Entity]]&lt;&gt;"",RIGHT(Fields[[#This Row],[Column Name]],LEN(Fields[[#This Row],[Column Name]])-2),"")</f>
        <v/>
      </c>
      <c r="P6" s="1"/>
      <c r="R6"/>
      <c r="S6"/>
      <c r="V6" s="1"/>
    </row>
    <row r="7" spans="1:22" x14ac:dyDescent="0.25">
      <c r="A7">
        <v>6</v>
      </c>
      <c r="B7" t="s">
        <v>146</v>
      </c>
      <c r="C7" t="s">
        <v>320</v>
      </c>
      <c r="D7" s="1" t="s">
        <v>180</v>
      </c>
      <c r="E7" t="s">
        <v>19</v>
      </c>
      <c r="F7" t="s">
        <v>242</v>
      </c>
      <c r="G7" s="2">
        <v>255</v>
      </c>
      <c r="L7" s="1" t="s">
        <v>389</v>
      </c>
      <c r="M7" t="str">
        <f>IF(Fields[[#This Row],[Reference Entity]]&lt;&gt;"","t" &amp;Fields[[#This Row],[Reference Entity]],"")</f>
        <v/>
      </c>
      <c r="N7" t="str">
        <f>IF(Fields[[#This Row],[Reference Entity]]&lt;&gt;"",RIGHT(Fields[[#This Row],[Column Name]],LEN(Fields[[#This Row],[Column Name]])-2),"")</f>
        <v/>
      </c>
      <c r="P7" s="1"/>
      <c r="R7"/>
      <c r="S7"/>
      <c r="V7" s="1"/>
    </row>
    <row r="8" spans="1:22" x14ac:dyDescent="0.25">
      <c r="A8">
        <v>7</v>
      </c>
      <c r="B8" t="s">
        <v>146</v>
      </c>
      <c r="C8" t="s">
        <v>318</v>
      </c>
      <c r="D8" s="1" t="s">
        <v>181</v>
      </c>
      <c r="E8" t="s">
        <v>19</v>
      </c>
      <c r="F8" t="s">
        <v>242</v>
      </c>
      <c r="G8" s="2">
        <v>255</v>
      </c>
      <c r="H8" t="s">
        <v>20</v>
      </c>
      <c r="L8" s="1" t="s">
        <v>389</v>
      </c>
      <c r="M8" t="str">
        <f>IF(Fields[[#This Row],[Reference Entity]]&lt;&gt;"","t" &amp;Fields[[#This Row],[Reference Entity]],"")</f>
        <v/>
      </c>
      <c r="N8" t="str">
        <f>IF(Fields[[#This Row],[Reference Entity]]&lt;&gt;"",RIGHT(Fields[[#This Row],[Column Name]],LEN(Fields[[#This Row],[Column Name]])-2),"")</f>
        <v/>
      </c>
      <c r="P8" s="1"/>
      <c r="R8"/>
      <c r="S8"/>
      <c r="V8" s="1"/>
    </row>
    <row r="9" spans="1:22" x14ac:dyDescent="0.25">
      <c r="A9">
        <v>8</v>
      </c>
      <c r="B9" t="s">
        <v>146</v>
      </c>
      <c r="C9" t="s">
        <v>173</v>
      </c>
      <c r="D9" s="1" t="s">
        <v>174</v>
      </c>
      <c r="E9" t="s">
        <v>18</v>
      </c>
      <c r="F9" t="s">
        <v>6</v>
      </c>
      <c r="G9" s="2"/>
      <c r="I9">
        <v>0</v>
      </c>
      <c r="L9" s="1" t="s">
        <v>389</v>
      </c>
      <c r="M9" t="str">
        <f>IF(Fields[[#This Row],[Reference Entity]]&lt;&gt;"","t" &amp;Fields[[#This Row],[Reference Entity]],"")</f>
        <v/>
      </c>
      <c r="N9" t="str">
        <f>IF(Fields[[#This Row],[Reference Entity]]&lt;&gt;"",RIGHT(Fields[[#This Row],[Column Name]],LEN(Fields[[#This Row],[Column Name]])-2),"")</f>
        <v/>
      </c>
      <c r="P9" s="1"/>
      <c r="R9"/>
      <c r="S9"/>
      <c r="V9" s="1"/>
    </row>
    <row r="10" spans="1:22" x14ac:dyDescent="0.25">
      <c r="A10">
        <v>1</v>
      </c>
      <c r="B10" t="s">
        <v>166</v>
      </c>
      <c r="C10" t="s">
        <v>5</v>
      </c>
      <c r="D10" s="1" t="s">
        <v>175</v>
      </c>
      <c r="E10" t="s">
        <v>498</v>
      </c>
      <c r="F10" t="s">
        <v>497</v>
      </c>
      <c r="G10" s="2"/>
      <c r="L10" s="1" t="s">
        <v>148</v>
      </c>
      <c r="M10" t="str">
        <f>IF(Fields[[#This Row],[Reference Entity]]&lt;&gt;"","t" &amp;Fields[[#This Row],[Reference Entity]],"")</f>
        <v>tClient</v>
      </c>
      <c r="N10" t="str">
        <f>IF(Fields[[#This Row],[Reference Entity]]&lt;&gt;"",RIGHT(Fields[[#This Row],[Column Name]],LEN(Fields[[#This Row],[Column Name]])-2),"")</f>
        <v>Client</v>
      </c>
      <c r="O10" t="s">
        <v>143</v>
      </c>
      <c r="P10" s="1"/>
      <c r="Q10" t="str">
        <f>Fields[[#This Row],[Column Name]]</f>
        <v>idClient</v>
      </c>
      <c r="R10"/>
      <c r="S10"/>
      <c r="V10" s="1"/>
    </row>
    <row r="11" spans="1:22" x14ac:dyDescent="0.25">
      <c r="A11">
        <v>2</v>
      </c>
      <c r="B11" t="s">
        <v>166</v>
      </c>
      <c r="C11" t="s">
        <v>321</v>
      </c>
      <c r="D11" s="1" t="s">
        <v>180</v>
      </c>
      <c r="E11" t="s">
        <v>19</v>
      </c>
      <c r="F11" t="s">
        <v>242</v>
      </c>
      <c r="G11" s="2">
        <v>50</v>
      </c>
      <c r="J11" s="1"/>
      <c r="L11" s="1" t="s">
        <v>389</v>
      </c>
      <c r="M11" t="str">
        <f>IF(Fields[[#This Row],[Reference Entity]]&lt;&gt;"","t" &amp;Fields[[#This Row],[Reference Entity]],"")</f>
        <v/>
      </c>
      <c r="N11" t="str">
        <f>IF(Fields[[#This Row],[Reference Entity]]&lt;&gt;"",RIGHT(Fields[[#This Row],[Column Name]],LEN(Fields[[#This Row],[Column Name]])-2),"")</f>
        <v/>
      </c>
      <c r="P11" s="1"/>
      <c r="Q11" s="1"/>
      <c r="T11" s="1"/>
      <c r="U11" s="1"/>
    </row>
    <row r="12" spans="1:22" x14ac:dyDescent="0.25">
      <c r="A12">
        <v>3</v>
      </c>
      <c r="B12" t="s">
        <v>166</v>
      </c>
      <c r="C12" t="s">
        <v>319</v>
      </c>
      <c r="D12" s="1" t="s">
        <v>181</v>
      </c>
      <c r="E12" t="s">
        <v>19</v>
      </c>
      <c r="F12" t="s">
        <v>242</v>
      </c>
      <c r="G12" s="2">
        <v>50</v>
      </c>
      <c r="J12" s="1"/>
      <c r="L12" s="1" t="s">
        <v>389</v>
      </c>
      <c r="M12" t="str">
        <f>IF(Fields[[#This Row],[Reference Entity]]&lt;&gt;"","t" &amp;Fields[[#This Row],[Reference Entity]],"")</f>
        <v/>
      </c>
      <c r="N12" t="str">
        <f>IF(Fields[[#This Row],[Reference Entity]]&lt;&gt;"",RIGHT(Fields[[#This Row],[Column Name]],LEN(Fields[[#This Row],[Column Name]])-2),"")</f>
        <v/>
      </c>
      <c r="P12" s="1"/>
      <c r="Q12" s="1"/>
      <c r="T12" s="1"/>
      <c r="U12" s="1"/>
    </row>
    <row r="13" spans="1:22" x14ac:dyDescent="0.25">
      <c r="A13">
        <v>4</v>
      </c>
      <c r="B13" t="s">
        <v>166</v>
      </c>
      <c r="C13" t="s">
        <v>758</v>
      </c>
      <c r="D13" s="1"/>
      <c r="E13" t="s">
        <v>16</v>
      </c>
      <c r="F13" t="s">
        <v>4</v>
      </c>
      <c r="G13" s="2"/>
      <c r="I13">
        <v>0</v>
      </c>
      <c r="J13" s="1"/>
      <c r="L13" s="1"/>
      <c r="M13" t="str">
        <f>IF(Fields[[#This Row],[Reference Entity]]&lt;&gt;"","t" &amp;Fields[[#This Row],[Reference Entity]],"")</f>
        <v/>
      </c>
      <c r="P13" s="1"/>
      <c r="Q13" s="1"/>
      <c r="T13" s="1"/>
      <c r="U13" s="1"/>
    </row>
    <row r="14" spans="1:22" x14ac:dyDescent="0.25">
      <c r="A14">
        <v>5</v>
      </c>
      <c r="B14" t="s">
        <v>166</v>
      </c>
      <c r="C14" t="s">
        <v>759</v>
      </c>
      <c r="D14" s="1"/>
      <c r="E14" t="s">
        <v>16</v>
      </c>
      <c r="F14" t="s">
        <v>4</v>
      </c>
      <c r="G14" s="2"/>
      <c r="I14">
        <v>0</v>
      </c>
      <c r="J14" s="1"/>
      <c r="L14" s="1"/>
      <c r="M14" t="str">
        <f>IF(Fields[[#This Row],[Reference Entity]]&lt;&gt;"","t" &amp;Fields[[#This Row],[Reference Entity]],"")</f>
        <v/>
      </c>
      <c r="P14" s="1"/>
      <c r="Q14" s="1"/>
      <c r="T14" s="1"/>
      <c r="U14" s="1"/>
    </row>
    <row r="15" spans="1:22" x14ac:dyDescent="0.25">
      <c r="A15">
        <v>6</v>
      </c>
      <c r="B15" t="s">
        <v>166</v>
      </c>
      <c r="C15" t="s">
        <v>760</v>
      </c>
      <c r="D15" s="1"/>
      <c r="E15" t="s">
        <v>498</v>
      </c>
      <c r="F15" t="s">
        <v>497</v>
      </c>
      <c r="G15" s="2"/>
      <c r="H15" t="s">
        <v>20</v>
      </c>
      <c r="J15" s="1"/>
      <c r="L15" s="1"/>
      <c r="M15" t="str">
        <f>IF(Fields[[#This Row],[Reference Entity]]&lt;&gt;"","t" &amp;Fields[[#This Row],[Reference Entity]],"")</f>
        <v/>
      </c>
      <c r="P15" s="1"/>
      <c r="Q15" s="1"/>
      <c r="T15" s="1"/>
      <c r="U15" s="1"/>
    </row>
    <row r="16" spans="1:22" ht="30" x14ac:dyDescent="0.25">
      <c r="A16">
        <v>7</v>
      </c>
      <c r="B16" t="s">
        <v>166</v>
      </c>
      <c r="C16" t="s">
        <v>761</v>
      </c>
      <c r="D16" s="1"/>
      <c r="E16" t="s">
        <v>124</v>
      </c>
      <c r="F16" t="s">
        <v>236</v>
      </c>
      <c r="G16" s="2"/>
      <c r="I16">
        <v>0</v>
      </c>
      <c r="K16" s="5" t="s">
        <v>488</v>
      </c>
      <c r="L16" s="1"/>
      <c r="M16" t="str">
        <f>IF(Fields[[#This Row],[Reference Entity]]&lt;&gt;"","t" &amp;Fields[[#This Row],[Reference Entity]],"")</f>
        <v/>
      </c>
      <c r="P16" s="1"/>
      <c r="Q16" s="1"/>
      <c r="T16" s="1"/>
      <c r="U16" s="1"/>
    </row>
    <row r="17" spans="1:22" x14ac:dyDescent="0.25">
      <c r="A17">
        <v>1</v>
      </c>
      <c r="B17" t="s">
        <v>204</v>
      </c>
      <c r="C17" t="s">
        <v>5</v>
      </c>
      <c r="D17" s="1" t="s">
        <v>175</v>
      </c>
      <c r="E17" t="s">
        <v>498</v>
      </c>
      <c r="F17" t="s">
        <v>497</v>
      </c>
      <c r="G17" s="2"/>
      <c r="L17" s="1" t="s">
        <v>148</v>
      </c>
      <c r="M17" t="str">
        <f>IF(Fields[[#This Row],[Reference Entity]]&lt;&gt;"","t" &amp;Fields[[#This Row],[Reference Entity]],"")</f>
        <v>tClient</v>
      </c>
      <c r="N17" t="str">
        <f>IF(Fields[[#This Row],[Reference Entity]]&lt;&gt;"",RIGHT(Fields[[#This Row],[Column Name]],LEN(Fields[[#This Row],[Column Name]])-2),"")</f>
        <v>Client</v>
      </c>
      <c r="O17" t="s">
        <v>143</v>
      </c>
      <c r="P17" s="1"/>
      <c r="Q17" t="str">
        <f>Fields[[#This Row],[Column Name]]</f>
        <v>idClient</v>
      </c>
      <c r="R17"/>
      <c r="S17"/>
      <c r="V17" s="1"/>
    </row>
    <row r="18" spans="1:22" x14ac:dyDescent="0.25">
      <c r="A18">
        <v>2</v>
      </c>
      <c r="B18" t="s">
        <v>204</v>
      </c>
      <c r="C18" t="s">
        <v>288</v>
      </c>
      <c r="D18" s="1" t="s">
        <v>228</v>
      </c>
      <c r="E18" t="s">
        <v>19</v>
      </c>
      <c r="F18" t="s">
        <v>242</v>
      </c>
      <c r="G18" s="2">
        <v>30</v>
      </c>
      <c r="J18" s="1"/>
      <c r="L18" s="1" t="s">
        <v>389</v>
      </c>
      <c r="M18" t="str">
        <f>IF(Fields[[#This Row],[Reference Entity]]&lt;&gt;"","t" &amp;Fields[[#This Row],[Reference Entity]],"")</f>
        <v/>
      </c>
      <c r="N18" t="str">
        <f>IF(Fields[[#This Row],[Reference Entity]]&lt;&gt;"",RIGHT(Fields[[#This Row],[Column Name]],LEN(Fields[[#This Row],[Column Name]])-2),"")</f>
        <v/>
      </c>
      <c r="P18" s="1"/>
      <c r="Q18" s="1"/>
      <c r="T18" s="1"/>
      <c r="U18" s="1"/>
    </row>
    <row r="19" spans="1:22" x14ac:dyDescent="0.25">
      <c r="A19">
        <v>3</v>
      </c>
      <c r="B19" t="s">
        <v>204</v>
      </c>
      <c r="C19" t="s">
        <v>229</v>
      </c>
      <c r="D19" s="1" t="s">
        <v>232</v>
      </c>
      <c r="E19" t="s">
        <v>30</v>
      </c>
      <c r="F19" t="s">
        <v>4</v>
      </c>
      <c r="G19" s="2"/>
      <c r="J19" s="1"/>
      <c r="L19" s="1" t="s">
        <v>389</v>
      </c>
      <c r="M19" t="str">
        <f>IF(Fields[[#This Row],[Reference Entity]]&lt;&gt;"","t" &amp;Fields[[#This Row],[Reference Entity]],"")</f>
        <v/>
      </c>
      <c r="N19" t="str">
        <f>IF(Fields[[#This Row],[Reference Entity]]&lt;&gt;"",RIGHT(Fields[[#This Row],[Column Name]],LEN(Fields[[#This Row],[Column Name]])-2),"")</f>
        <v/>
      </c>
      <c r="P19" s="1"/>
      <c r="Q19" s="1"/>
      <c r="T19" s="1"/>
      <c r="U19" s="1"/>
    </row>
    <row r="20" spans="1:22" x14ac:dyDescent="0.25">
      <c r="A20">
        <v>4</v>
      </c>
      <c r="B20" t="s">
        <v>204</v>
      </c>
      <c r="C20" t="s">
        <v>230</v>
      </c>
      <c r="D20" s="1" t="s">
        <v>233</v>
      </c>
      <c r="E20" t="s">
        <v>124</v>
      </c>
      <c r="F20" t="s">
        <v>236</v>
      </c>
      <c r="G20" s="2"/>
      <c r="J20" s="1"/>
      <c r="L20" s="1" t="s">
        <v>389</v>
      </c>
      <c r="M20" t="str">
        <f>IF(Fields[[#This Row],[Reference Entity]]&lt;&gt;"","t" &amp;Fields[[#This Row],[Reference Entity]],"")</f>
        <v/>
      </c>
      <c r="N20" t="str">
        <f>IF(Fields[[#This Row],[Reference Entity]]&lt;&gt;"",RIGHT(Fields[[#This Row],[Column Name]],LEN(Fields[[#This Row],[Column Name]])-2),"")</f>
        <v/>
      </c>
      <c r="P20" s="1"/>
      <c r="Q20" s="1"/>
      <c r="T20" s="1"/>
      <c r="U20" s="1"/>
    </row>
    <row r="21" spans="1:22" x14ac:dyDescent="0.25">
      <c r="A21">
        <v>5</v>
      </c>
      <c r="B21" t="s">
        <v>204</v>
      </c>
      <c r="C21" t="s">
        <v>231</v>
      </c>
      <c r="D21" s="1" t="s">
        <v>234</v>
      </c>
      <c r="E21" t="s">
        <v>19</v>
      </c>
      <c r="F21" t="s">
        <v>242</v>
      </c>
      <c r="G21" s="2">
        <v>10</v>
      </c>
      <c r="J21" s="1"/>
      <c r="L21" s="1" t="s">
        <v>389</v>
      </c>
      <c r="M21" t="str">
        <f>IF(Fields[[#This Row],[Reference Entity]]&lt;&gt;"","t" &amp;Fields[[#This Row],[Reference Entity]],"")</f>
        <v/>
      </c>
      <c r="N21" t="str">
        <f>IF(Fields[[#This Row],[Reference Entity]]&lt;&gt;"",RIGHT(Fields[[#This Row],[Column Name]],LEN(Fields[[#This Row],[Column Name]])-2),"")</f>
        <v/>
      </c>
      <c r="P21" s="1"/>
      <c r="Q21" s="1"/>
      <c r="T21" s="1"/>
      <c r="U21" s="1"/>
    </row>
    <row r="22" spans="1:22" x14ac:dyDescent="0.25">
      <c r="A22">
        <v>6</v>
      </c>
      <c r="B22" t="s">
        <v>204</v>
      </c>
      <c r="C22" t="s">
        <v>806</v>
      </c>
      <c r="D22" s="1"/>
      <c r="E22" t="s">
        <v>124</v>
      </c>
      <c r="F22" t="s">
        <v>236</v>
      </c>
      <c r="G22" s="2"/>
      <c r="I22">
        <v>0</v>
      </c>
      <c r="J22" s="1"/>
      <c r="L22" s="1"/>
      <c r="M22" t="str">
        <f>IF(Fields[[#This Row],[Reference Entity]]&lt;&gt;"","t" &amp;Fields[[#This Row],[Reference Entity]],"")</f>
        <v/>
      </c>
      <c r="P22" s="1"/>
      <c r="Q22" s="1"/>
      <c r="T22" s="1"/>
      <c r="U22" s="1"/>
    </row>
    <row r="23" spans="1:22" x14ac:dyDescent="0.25">
      <c r="A23">
        <v>7</v>
      </c>
      <c r="B23" t="s">
        <v>204</v>
      </c>
      <c r="C23" t="s">
        <v>807</v>
      </c>
      <c r="D23" s="1"/>
      <c r="E23" t="s">
        <v>18</v>
      </c>
      <c r="F23" t="s">
        <v>6</v>
      </c>
      <c r="G23" s="2"/>
      <c r="I23">
        <v>0</v>
      </c>
      <c r="J23" s="1"/>
      <c r="L23" s="1"/>
      <c r="M23" t="str">
        <f>IF(Fields[[#This Row],[Reference Entity]]&lt;&gt;"","t" &amp;Fields[[#This Row],[Reference Entity]],"")</f>
        <v/>
      </c>
      <c r="P23" s="1"/>
      <c r="Q23" s="1"/>
      <c r="T23" s="1"/>
      <c r="U23" s="1"/>
    </row>
    <row r="24" spans="1:22" x14ac:dyDescent="0.25">
      <c r="A24">
        <v>8</v>
      </c>
      <c r="B24" t="s">
        <v>204</v>
      </c>
      <c r="C24" t="s">
        <v>755</v>
      </c>
      <c r="D24" s="1" t="s">
        <v>756</v>
      </c>
      <c r="E24" t="s">
        <v>19</v>
      </c>
      <c r="F24" t="s">
        <v>242</v>
      </c>
      <c r="G24" s="2">
        <v>100</v>
      </c>
      <c r="H24" t="s">
        <v>20</v>
      </c>
      <c r="J24" s="1"/>
      <c r="L24" s="1"/>
      <c r="M24" t="str">
        <f>IF(Fields[[#This Row],[Reference Entity]]&lt;&gt;"","t" &amp;Fields[[#This Row],[Reference Entity]],"")</f>
        <v/>
      </c>
      <c r="P24" s="1"/>
      <c r="Q24" s="1"/>
      <c r="T24" s="1"/>
      <c r="U24" s="1"/>
    </row>
    <row r="25" spans="1:22" x14ac:dyDescent="0.25">
      <c r="A25">
        <v>9</v>
      </c>
      <c r="B25" t="s">
        <v>204</v>
      </c>
      <c r="C25" t="s">
        <v>750</v>
      </c>
      <c r="D25" s="1" t="s">
        <v>235</v>
      </c>
      <c r="E25" t="s">
        <v>19</v>
      </c>
      <c r="F25" t="s">
        <v>242</v>
      </c>
      <c r="G25" s="2">
        <v>255</v>
      </c>
      <c r="J25" s="1"/>
      <c r="L25" s="1" t="s">
        <v>389</v>
      </c>
      <c r="M25" t="str">
        <f>IF(Fields[[#This Row],[Reference Entity]]&lt;&gt;"","t" &amp;Fields[[#This Row],[Reference Entity]],"")</f>
        <v/>
      </c>
      <c r="N25" t="str">
        <f>IF(Fields[[#This Row],[Reference Entity]]&lt;&gt;"",RIGHT(Fields[[#This Row],[Column Name]],LEN(Fields[[#This Row],[Column Name]])-2),"")</f>
        <v/>
      </c>
      <c r="P25" s="1"/>
      <c r="Q25" s="1"/>
      <c r="T25" s="1"/>
      <c r="U25" s="1"/>
    </row>
    <row r="26" spans="1:22" x14ac:dyDescent="0.25">
      <c r="A26">
        <v>10</v>
      </c>
      <c r="B26" t="s">
        <v>204</v>
      </c>
      <c r="C26" t="s">
        <v>752</v>
      </c>
      <c r="D26" s="1"/>
      <c r="E26" t="s">
        <v>17</v>
      </c>
      <c r="F26" t="s">
        <v>395</v>
      </c>
      <c r="G26" s="2"/>
      <c r="J26" s="1"/>
      <c r="L26" s="1"/>
      <c r="M26" t="str">
        <f>IF(Fields[[#This Row],[Reference Entity]]&lt;&gt;"","t" &amp;Fields[[#This Row],[Reference Entity]],"")</f>
        <v/>
      </c>
      <c r="P26" s="1"/>
      <c r="Q26" s="1"/>
      <c r="T26" s="1"/>
      <c r="U26" s="1"/>
    </row>
    <row r="27" spans="1:22" x14ac:dyDescent="0.25">
      <c r="A27">
        <v>11</v>
      </c>
      <c r="B27" t="s">
        <v>204</v>
      </c>
      <c r="C27" t="s">
        <v>751</v>
      </c>
      <c r="D27" s="1"/>
      <c r="E27" t="s">
        <v>17</v>
      </c>
      <c r="F27" t="s">
        <v>395</v>
      </c>
      <c r="G27" s="2"/>
      <c r="J27" s="1"/>
      <c r="L27" s="1"/>
      <c r="M27" t="str">
        <f>IF(Fields[[#This Row],[Reference Entity]]&lt;&gt;"","t" &amp;Fields[[#This Row],[Reference Entity]],"")</f>
        <v/>
      </c>
      <c r="P27" s="1"/>
      <c r="Q27" s="1"/>
      <c r="T27" s="1"/>
      <c r="U27" s="1"/>
    </row>
    <row r="28" spans="1:22" x14ac:dyDescent="0.25">
      <c r="A28">
        <v>12</v>
      </c>
      <c r="B28" t="s">
        <v>204</v>
      </c>
      <c r="C28" t="s">
        <v>762</v>
      </c>
      <c r="D28" s="1"/>
      <c r="E28" t="s">
        <v>30</v>
      </c>
      <c r="F28" t="s">
        <v>4</v>
      </c>
      <c r="G28" s="2"/>
      <c r="J28" s="1"/>
      <c r="L28" s="1"/>
      <c r="M28" t="str">
        <f>IF(Fields[[#This Row],[Reference Entity]]&lt;&gt;"","t" &amp;Fields[[#This Row],[Reference Entity]],"")</f>
        <v/>
      </c>
      <c r="P28" s="1"/>
      <c r="Q28" s="1"/>
      <c r="T28" s="1"/>
      <c r="U28" s="1"/>
    </row>
    <row r="29" spans="1:22" x14ac:dyDescent="0.25">
      <c r="A29">
        <v>13</v>
      </c>
      <c r="B29" t="s">
        <v>204</v>
      </c>
      <c r="C29" t="s">
        <v>763</v>
      </c>
      <c r="D29" s="1"/>
      <c r="E29" t="s">
        <v>30</v>
      </c>
      <c r="F29" t="s">
        <v>4</v>
      </c>
      <c r="G29" s="2"/>
      <c r="J29" s="1"/>
      <c r="L29" s="1"/>
      <c r="M29" t="str">
        <f>IF(Fields[[#This Row],[Reference Entity]]&lt;&gt;"","t" &amp;Fields[[#This Row],[Reference Entity]],"")</f>
        <v/>
      </c>
      <c r="P29" s="1"/>
      <c r="Q29" s="1"/>
      <c r="T29" s="1"/>
      <c r="U29" s="1"/>
    </row>
    <row r="30" spans="1:22" x14ac:dyDescent="0.25">
      <c r="A30">
        <v>1</v>
      </c>
      <c r="B30" t="s">
        <v>157</v>
      </c>
      <c r="C30" t="s">
        <v>5</v>
      </c>
      <c r="D30" s="1" t="s">
        <v>175</v>
      </c>
      <c r="E30" t="s">
        <v>498</v>
      </c>
      <c r="F30" t="s">
        <v>497</v>
      </c>
      <c r="G30" s="2"/>
      <c r="L30" s="1" t="s">
        <v>148</v>
      </c>
      <c r="M30" t="str">
        <f>IF(Fields[[#This Row],[Reference Entity]]&lt;&gt;"","t" &amp;Fields[[#This Row],[Reference Entity]],"")</f>
        <v>tClient</v>
      </c>
      <c r="N30" t="str">
        <f>IF(Fields[[#This Row],[Reference Entity]]&lt;&gt;"",RIGHT(Fields[[#This Row],[Column Name]],LEN(Fields[[#This Row],[Column Name]])-2),"")</f>
        <v>Client</v>
      </c>
      <c r="P30" s="1"/>
      <c r="Q30" t="str">
        <f>Fields[[#This Row],[Column Name]]</f>
        <v>idClient</v>
      </c>
      <c r="R30"/>
      <c r="S30"/>
      <c r="V30" s="1"/>
    </row>
    <row r="31" spans="1:22" x14ac:dyDescent="0.25">
      <c r="A31">
        <v>2</v>
      </c>
      <c r="B31" t="s">
        <v>157</v>
      </c>
      <c r="C31" t="s">
        <v>279</v>
      </c>
      <c r="D31" s="1" t="s">
        <v>280</v>
      </c>
      <c r="E31" t="s">
        <v>18</v>
      </c>
      <c r="F31" t="s">
        <v>6</v>
      </c>
      <c r="G31" s="2"/>
      <c r="I31">
        <v>0</v>
      </c>
      <c r="L31" s="1" t="s">
        <v>389</v>
      </c>
      <c r="M31" t="str">
        <f>IF(Fields[[#This Row],[Reference Entity]]&lt;&gt;"","t" &amp;Fields[[#This Row],[Reference Entity]],"")</f>
        <v/>
      </c>
      <c r="N31" t="str">
        <f>IF(Fields[[#This Row],[Reference Entity]]&lt;&gt;"",RIGHT(Fields[[#This Row],[Column Name]],LEN(Fields[[#This Row],[Column Name]])-2),"")</f>
        <v/>
      </c>
      <c r="P31" s="1"/>
      <c r="R31"/>
      <c r="S31"/>
      <c r="V31" s="1"/>
    </row>
    <row r="32" spans="1:22" x14ac:dyDescent="0.25">
      <c r="A32">
        <v>3</v>
      </c>
      <c r="B32" t="s">
        <v>157</v>
      </c>
      <c r="C32" t="s">
        <v>281</v>
      </c>
      <c r="D32" s="1" t="s">
        <v>282</v>
      </c>
      <c r="E32" t="s">
        <v>17</v>
      </c>
      <c r="F32" t="s">
        <v>395</v>
      </c>
      <c r="G32" s="2"/>
      <c r="H32" t="s">
        <v>20</v>
      </c>
      <c r="L32" s="1" t="s">
        <v>389</v>
      </c>
      <c r="M32" t="str">
        <f>IF(Fields[[#This Row],[Reference Entity]]&lt;&gt;"","t" &amp;Fields[[#This Row],[Reference Entity]],"")</f>
        <v/>
      </c>
      <c r="N32" t="str">
        <f>IF(Fields[[#This Row],[Reference Entity]]&lt;&gt;"",RIGHT(Fields[[#This Row],[Column Name]],LEN(Fields[[#This Row],[Column Name]])-2),"")</f>
        <v/>
      </c>
      <c r="P32" s="1"/>
      <c r="R32"/>
      <c r="S32"/>
      <c r="V32" s="1"/>
    </row>
    <row r="33" spans="1:21" ht="45" x14ac:dyDescent="0.25">
      <c r="A33">
        <v>4</v>
      </c>
      <c r="B33" t="s">
        <v>157</v>
      </c>
      <c r="C33" t="s">
        <v>322</v>
      </c>
      <c r="D33" s="1" t="s">
        <v>206</v>
      </c>
      <c r="E33" t="s">
        <v>124</v>
      </c>
      <c r="F33" t="s">
        <v>236</v>
      </c>
      <c r="G33" s="2"/>
      <c r="I33">
        <v>0</v>
      </c>
      <c r="J33" s="1"/>
      <c r="K33" s="5" t="s">
        <v>199</v>
      </c>
      <c r="L33" s="1" t="s">
        <v>389</v>
      </c>
      <c r="M33" t="str">
        <f>IF(Fields[[#This Row],[Reference Entity]]&lt;&gt;"","t" &amp;Fields[[#This Row],[Reference Entity]],"")</f>
        <v/>
      </c>
      <c r="N33" t="str">
        <f>IF(Fields[[#This Row],[Reference Entity]]&lt;&gt;"",RIGHT(Fields[[#This Row],[Column Name]],LEN(Fields[[#This Row],[Column Name]])-2),"")</f>
        <v/>
      </c>
      <c r="P33" s="1"/>
      <c r="Q33" s="1"/>
      <c r="T33" s="1"/>
      <c r="U33" s="1"/>
    </row>
    <row r="34" spans="1:21" x14ac:dyDescent="0.25">
      <c r="A34">
        <v>5</v>
      </c>
      <c r="B34" t="s">
        <v>157</v>
      </c>
      <c r="C34" t="s">
        <v>195</v>
      </c>
      <c r="D34" s="1" t="s">
        <v>207</v>
      </c>
      <c r="E34" t="s">
        <v>498</v>
      </c>
      <c r="F34" t="s">
        <v>497</v>
      </c>
      <c r="G34" s="2"/>
      <c r="J34" s="1"/>
      <c r="L34" s="1" t="s">
        <v>339</v>
      </c>
      <c r="M34" t="str">
        <f>IF(Fields[[#This Row],[Reference Entity]]&lt;&gt;"","t" &amp;Fields[[#This Row],[Reference Entity]],"")</f>
        <v>tAccount</v>
      </c>
      <c r="N34" t="str">
        <f>IF(Fields[[#This Row],[Reference Entity]]&lt;&gt;"",RIGHT(Fields[[#This Row],[Column Name]],LEN(Fields[[#This Row],[Column Name]])-2),"")</f>
        <v>AccountDebit</v>
      </c>
      <c r="P34" s="1"/>
      <c r="Q34" t="str">
        <f>Fields[[#This Row],[Column Name]]</f>
        <v>idAccountDebit</v>
      </c>
      <c r="S34"/>
      <c r="U34" t="s">
        <v>386</v>
      </c>
    </row>
    <row r="35" spans="1:21" x14ac:dyDescent="0.25">
      <c r="A35">
        <v>6</v>
      </c>
      <c r="B35" t="s">
        <v>157</v>
      </c>
      <c r="C35" t="s">
        <v>196</v>
      </c>
      <c r="D35" s="1" t="s">
        <v>208</v>
      </c>
      <c r="E35" t="s">
        <v>498</v>
      </c>
      <c r="F35" t="s">
        <v>497</v>
      </c>
      <c r="G35" s="2"/>
      <c r="J35" s="1"/>
      <c r="L35" s="1" t="s">
        <v>339</v>
      </c>
      <c r="M35" t="str">
        <f>IF(Fields[[#This Row],[Reference Entity]]&lt;&gt;"","t" &amp;Fields[[#This Row],[Reference Entity]],"")</f>
        <v>tAccount</v>
      </c>
      <c r="N35" t="str">
        <f>IF(Fields[[#This Row],[Reference Entity]]&lt;&gt;"",RIGHT(Fields[[#This Row],[Column Name]],LEN(Fields[[#This Row],[Column Name]])-2),"")</f>
        <v>AccountCredit</v>
      </c>
      <c r="P35" s="1"/>
      <c r="Q35" t="str">
        <f>Fields[[#This Row],[Column Name]]</f>
        <v>idAccountCredit</v>
      </c>
      <c r="S35"/>
      <c r="U35" t="s">
        <v>387</v>
      </c>
    </row>
    <row r="36" spans="1:21" x14ac:dyDescent="0.25">
      <c r="A36">
        <v>7</v>
      </c>
      <c r="B36" t="s">
        <v>157</v>
      </c>
      <c r="C36" t="s">
        <v>300</v>
      </c>
      <c r="D36" s="1" t="s">
        <v>209</v>
      </c>
      <c r="E36" t="s">
        <v>498</v>
      </c>
      <c r="F36" t="s">
        <v>497</v>
      </c>
      <c r="G36" s="2"/>
      <c r="H36" t="s">
        <v>20</v>
      </c>
      <c r="J36" s="1"/>
      <c r="L36" s="1" t="s">
        <v>341</v>
      </c>
      <c r="M36" t="str">
        <f>IF(Fields[[#This Row],[Reference Entity]]&lt;&gt;"","t" &amp;Fields[[#This Row],[Reference Entity]],"")</f>
        <v>tCostCenter</v>
      </c>
      <c r="N36" t="str">
        <f>IF(Fields[[#This Row],[Reference Entity]]&lt;&gt;"",RIGHT(Fields[[#This Row],[Column Name]],LEN(Fields[[#This Row],[Column Name]])-2),"")</f>
        <v>CostCenterBookRecord</v>
      </c>
      <c r="P36" s="1"/>
      <c r="Q36" t="str">
        <f>Fields[[#This Row],[Column Name]]</f>
        <v>idCostCenterBookRecord</v>
      </c>
      <c r="S36"/>
    </row>
    <row r="37" spans="1:21" x14ac:dyDescent="0.25">
      <c r="A37">
        <v>8</v>
      </c>
      <c r="B37" t="s">
        <v>157</v>
      </c>
      <c r="C37" t="s">
        <v>197</v>
      </c>
      <c r="D37" s="1" t="s">
        <v>210</v>
      </c>
      <c r="E37" t="s">
        <v>498</v>
      </c>
      <c r="F37" t="s">
        <v>497</v>
      </c>
      <c r="G37" s="2"/>
      <c r="H37" t="s">
        <v>20</v>
      </c>
      <c r="J37" s="1"/>
      <c r="L37" s="1" t="s">
        <v>345</v>
      </c>
      <c r="M37" t="str">
        <f>IF(Fields[[#This Row],[Reference Entity]]&lt;&gt;"","t" &amp;Fields[[#This Row],[Reference Entity]],"")</f>
        <v>tBookingRun</v>
      </c>
      <c r="N37" t="str">
        <f>IF(Fields[[#This Row],[Reference Entity]]&lt;&gt;"",RIGHT(Fields[[#This Row],[Column Name]],LEN(Fields[[#This Row],[Column Name]])-2),"")</f>
        <v>BookingRun</v>
      </c>
      <c r="O37" t="s">
        <v>143</v>
      </c>
      <c r="P37" s="1"/>
      <c r="Q37" t="str">
        <f>Fields[[#This Row],[Column Name]]</f>
        <v>idBookingRun</v>
      </c>
      <c r="S37"/>
    </row>
    <row r="38" spans="1:21" x14ac:dyDescent="0.25">
      <c r="A38">
        <v>9</v>
      </c>
      <c r="B38" t="s">
        <v>157</v>
      </c>
      <c r="C38" t="s">
        <v>288</v>
      </c>
      <c r="D38" s="1" t="s">
        <v>228</v>
      </c>
      <c r="E38" t="s">
        <v>19</v>
      </c>
      <c r="F38" t="s">
        <v>242</v>
      </c>
      <c r="G38" s="2">
        <v>30</v>
      </c>
      <c r="H38" t="s">
        <v>20</v>
      </c>
      <c r="J38" s="1"/>
      <c r="L38" s="1" t="s">
        <v>389</v>
      </c>
      <c r="M38" t="str">
        <f>IF(Fields[[#This Row],[Reference Entity]]&lt;&gt;"","t" &amp;Fields[[#This Row],[Reference Entity]],"")</f>
        <v/>
      </c>
      <c r="N38" t="str">
        <f>IF(Fields[[#This Row],[Reference Entity]]&lt;&gt;"",RIGHT(Fields[[#This Row],[Column Name]],LEN(Fields[[#This Row],[Column Name]])-2),"")</f>
        <v/>
      </c>
      <c r="P38" s="1"/>
      <c r="Q38" s="1"/>
      <c r="T38" s="1"/>
      <c r="U38" s="1"/>
    </row>
    <row r="39" spans="1:21" x14ac:dyDescent="0.25">
      <c r="A39">
        <v>10</v>
      </c>
      <c r="B39" t="s">
        <v>157</v>
      </c>
      <c r="C39" t="s">
        <v>198</v>
      </c>
      <c r="D39" s="1" t="s">
        <v>211</v>
      </c>
      <c r="E39" t="s">
        <v>16</v>
      </c>
      <c r="F39" t="s">
        <v>4</v>
      </c>
      <c r="G39" s="2"/>
      <c r="H39" t="s">
        <v>20</v>
      </c>
      <c r="J39" s="1"/>
      <c r="L39" s="1" t="s">
        <v>389</v>
      </c>
      <c r="M39" t="str">
        <f>IF(Fields[[#This Row],[Reference Entity]]&lt;&gt;"","t" &amp;Fields[[#This Row],[Reference Entity]],"")</f>
        <v/>
      </c>
      <c r="N39" t="str">
        <f>IF(Fields[[#This Row],[Reference Entity]]&lt;&gt;"",RIGHT(Fields[[#This Row],[Column Name]],LEN(Fields[[#This Row],[Column Name]])-2),"")</f>
        <v/>
      </c>
      <c r="P39" s="1"/>
      <c r="Q39" s="1"/>
      <c r="T39" s="1"/>
      <c r="U39" s="1"/>
    </row>
    <row r="40" spans="1:21" x14ac:dyDescent="0.25">
      <c r="A40">
        <v>11</v>
      </c>
      <c r="B40" t="s">
        <v>157</v>
      </c>
      <c r="C40" t="s">
        <v>808</v>
      </c>
      <c r="D40" s="1"/>
      <c r="E40" t="s">
        <v>16</v>
      </c>
      <c r="F40" t="s">
        <v>4</v>
      </c>
      <c r="G40" s="2"/>
      <c r="J40" s="1"/>
      <c r="L40" s="1"/>
      <c r="M40" t="str">
        <f>IF(Fields[[#This Row],[Reference Entity]]&lt;&gt;"","t" &amp;Fields[[#This Row],[Reference Entity]],"")</f>
        <v/>
      </c>
      <c r="P40" s="1"/>
      <c r="Q40" s="1"/>
      <c r="T40" s="1"/>
      <c r="U40" s="1"/>
    </row>
    <row r="41" spans="1:21" x14ac:dyDescent="0.25">
      <c r="A41">
        <v>12</v>
      </c>
      <c r="B41" t="s">
        <v>157</v>
      </c>
      <c r="C41" t="s">
        <v>809</v>
      </c>
      <c r="D41" s="1"/>
      <c r="E41" t="s">
        <v>16</v>
      </c>
      <c r="F41" t="s">
        <v>4</v>
      </c>
      <c r="G41" s="2"/>
      <c r="J41" s="1"/>
      <c r="L41" s="1"/>
      <c r="M41" t="str">
        <f>IF(Fields[[#This Row],[Reference Entity]]&lt;&gt;"","t" &amp;Fields[[#This Row],[Reference Entity]],"")</f>
        <v/>
      </c>
      <c r="P41" s="1"/>
      <c r="Q41" s="1"/>
      <c r="T41" s="1"/>
      <c r="U41" s="1"/>
    </row>
    <row r="42" spans="1:21" x14ac:dyDescent="0.25">
      <c r="A42">
        <v>13</v>
      </c>
      <c r="B42" t="s">
        <v>157</v>
      </c>
      <c r="C42" t="s">
        <v>818</v>
      </c>
      <c r="D42" s="1"/>
      <c r="E42" t="s">
        <v>819</v>
      </c>
      <c r="F42" t="s">
        <v>236</v>
      </c>
      <c r="G42" s="2"/>
      <c r="J42" s="1"/>
      <c r="L42" s="1"/>
      <c r="M42" t="str">
        <f>IF(Fields[[#This Row],[Reference Entity]]&lt;&gt;"","t" &amp;Fields[[#This Row],[Reference Entity]],"")</f>
        <v/>
      </c>
      <c r="P42" s="1"/>
      <c r="Q42" s="1"/>
      <c r="T42" s="1"/>
      <c r="U42" s="1"/>
    </row>
    <row r="43" spans="1:21" x14ac:dyDescent="0.25">
      <c r="A43">
        <v>14</v>
      </c>
      <c r="B43" t="s">
        <v>157</v>
      </c>
      <c r="C43" t="s">
        <v>200</v>
      </c>
      <c r="D43" s="1" t="s">
        <v>212</v>
      </c>
      <c r="E43" t="s">
        <v>498</v>
      </c>
      <c r="F43" t="s">
        <v>497</v>
      </c>
      <c r="G43" s="2"/>
      <c r="H43" t="s">
        <v>20</v>
      </c>
      <c r="J43" s="1"/>
      <c r="L43" s="1" t="s">
        <v>350</v>
      </c>
      <c r="M43" t="str">
        <f>IF(Fields[[#This Row],[Reference Entity]]&lt;&gt;"","t" &amp;Fields[[#This Row],[Reference Entity]],"")</f>
        <v>tPlanElementInstance</v>
      </c>
      <c r="N43" t="str">
        <f>IF(Fields[[#This Row],[Reference Entity]]&lt;&gt;"",RIGHT(Fields[[#This Row],[Column Name]],LEN(Fields[[#This Row],[Column Name]])-2),"")</f>
        <v>PlanElementInstance</v>
      </c>
      <c r="P43" s="1"/>
      <c r="Q43" t="str">
        <f>Fields[[#This Row],[Column Name]]</f>
        <v>idPlanElementInstance</v>
      </c>
      <c r="S43"/>
    </row>
    <row r="44" spans="1:21" x14ac:dyDescent="0.25">
      <c r="A44">
        <v>15</v>
      </c>
      <c r="B44" t="s">
        <v>157</v>
      </c>
      <c r="C44" t="s">
        <v>306</v>
      </c>
      <c r="D44" s="1" t="s">
        <v>213</v>
      </c>
      <c r="E44" t="s">
        <v>19</v>
      </c>
      <c r="F44" t="s">
        <v>242</v>
      </c>
      <c r="G44" s="2">
        <v>255</v>
      </c>
      <c r="H44" t="s">
        <v>20</v>
      </c>
      <c r="J44" s="1"/>
      <c r="L44" s="1" t="s">
        <v>389</v>
      </c>
      <c r="M44" t="str">
        <f>IF(Fields[[#This Row],[Reference Entity]]&lt;&gt;"","t" &amp;Fields[[#This Row],[Reference Entity]],"")</f>
        <v/>
      </c>
      <c r="N44" t="str">
        <f>IF(Fields[[#This Row],[Reference Entity]]&lt;&gt;"",RIGHT(Fields[[#This Row],[Column Name]],LEN(Fields[[#This Row],[Column Name]])-2),"")</f>
        <v/>
      </c>
      <c r="P44" s="1"/>
      <c r="Q44" s="1"/>
      <c r="T44" s="1"/>
      <c r="U44" s="1"/>
    </row>
    <row r="45" spans="1:21" x14ac:dyDescent="0.25">
      <c r="A45">
        <v>16</v>
      </c>
      <c r="B45" t="s">
        <v>157</v>
      </c>
      <c r="C45" t="s">
        <v>295</v>
      </c>
      <c r="D45" s="1" t="s">
        <v>214</v>
      </c>
      <c r="E45" t="s">
        <v>17</v>
      </c>
      <c r="F45" t="s">
        <v>395</v>
      </c>
      <c r="G45" s="2"/>
      <c r="J45" s="1"/>
      <c r="L45" s="1" t="s">
        <v>389</v>
      </c>
      <c r="M45" t="str">
        <f>IF(Fields[[#This Row],[Reference Entity]]&lt;&gt;"","t" &amp;Fields[[#This Row],[Reference Entity]],"")</f>
        <v/>
      </c>
      <c r="N45" t="str">
        <f>IF(Fields[[#This Row],[Reference Entity]]&lt;&gt;"",RIGHT(Fields[[#This Row],[Column Name]],LEN(Fields[[#This Row],[Column Name]])-2),"")</f>
        <v/>
      </c>
      <c r="P45" s="1"/>
      <c r="Q45" s="1"/>
      <c r="T45" s="1"/>
      <c r="U45" s="1"/>
    </row>
    <row r="46" spans="1:21" x14ac:dyDescent="0.25">
      <c r="A46">
        <v>17</v>
      </c>
      <c r="B46" t="s">
        <v>157</v>
      </c>
      <c r="C46" t="s">
        <v>201</v>
      </c>
      <c r="D46" s="1" t="s">
        <v>215</v>
      </c>
      <c r="E46" t="s">
        <v>60</v>
      </c>
      <c r="F46" t="s">
        <v>237</v>
      </c>
      <c r="G46" s="2"/>
      <c r="J46" s="1"/>
      <c r="L46" s="1" t="s">
        <v>389</v>
      </c>
      <c r="M46" t="str">
        <f>IF(Fields[[#This Row],[Reference Entity]]&lt;&gt;"","t" &amp;Fields[[#This Row],[Reference Entity]],"")</f>
        <v/>
      </c>
      <c r="N46" t="str">
        <f>IF(Fields[[#This Row],[Reference Entity]]&lt;&gt;"",RIGHT(Fields[[#This Row],[Column Name]],LEN(Fields[[#This Row],[Column Name]])-2),"")</f>
        <v/>
      </c>
      <c r="P46" s="1"/>
      <c r="Q46" s="1"/>
      <c r="T46" s="1"/>
      <c r="U46" s="1"/>
    </row>
    <row r="47" spans="1:21" x14ac:dyDescent="0.25">
      <c r="A47">
        <v>18</v>
      </c>
      <c r="B47" t="s">
        <v>157</v>
      </c>
      <c r="C47" t="s">
        <v>757</v>
      </c>
      <c r="D47" s="1" t="s">
        <v>216</v>
      </c>
      <c r="E47" t="s">
        <v>19</v>
      </c>
      <c r="F47" t="s">
        <v>242</v>
      </c>
      <c r="G47" s="2">
        <v>50</v>
      </c>
      <c r="H47" t="s">
        <v>20</v>
      </c>
      <c r="J47" s="1"/>
      <c r="L47" s="1" t="s">
        <v>389</v>
      </c>
      <c r="M47" t="str">
        <f>IF(Fields[[#This Row],[Reference Entity]]&lt;&gt;"","t" &amp;Fields[[#This Row],[Reference Entity]],"")</f>
        <v/>
      </c>
      <c r="N47" t="str">
        <f>IF(Fields[[#This Row],[Reference Entity]]&lt;&gt;"",RIGHT(Fields[[#This Row],[Column Name]],LEN(Fields[[#This Row],[Column Name]])-2),"")</f>
        <v/>
      </c>
      <c r="P47" s="1"/>
      <c r="Q47" s="1"/>
      <c r="T47" s="1"/>
      <c r="U47" s="1"/>
    </row>
    <row r="48" spans="1:21" ht="60" x14ac:dyDescent="0.25">
      <c r="A48">
        <v>19</v>
      </c>
      <c r="B48" t="s">
        <v>157</v>
      </c>
      <c r="C48" t="s">
        <v>304</v>
      </c>
      <c r="D48" s="1" t="s">
        <v>37</v>
      </c>
      <c r="E48" t="s">
        <v>19</v>
      </c>
      <c r="F48" t="s">
        <v>242</v>
      </c>
      <c r="G48" s="2">
        <v>15</v>
      </c>
      <c r="H48" t="s">
        <v>20</v>
      </c>
      <c r="L48" s="1" t="s">
        <v>389</v>
      </c>
      <c r="M48" t="str">
        <f>IF(Fields[[#This Row],[Reference Entity]]&lt;&gt;"","t" &amp;Fields[[#This Row],[Reference Entity]],"")</f>
        <v/>
      </c>
      <c r="N48" t="str">
        <f>IF(Fields[[#This Row],[Reference Entity]]&lt;&gt;"",RIGHT(Fields[[#This Row],[Column Name]],LEN(Fields[[#This Row],[Column Name]])-2),"")</f>
        <v/>
      </c>
      <c r="P48" s="1"/>
      <c r="Q48" t="str">
        <f>Fields[[#This Row],[Column Name]]</f>
        <v>ReferenceIDBookRecord</v>
      </c>
      <c r="R48"/>
      <c r="S48"/>
    </row>
    <row r="49" spans="1:21" x14ac:dyDescent="0.25">
      <c r="A49">
        <v>20</v>
      </c>
      <c r="B49" t="s">
        <v>157</v>
      </c>
      <c r="C49" t="s">
        <v>293</v>
      </c>
      <c r="D49" s="1" t="s">
        <v>217</v>
      </c>
      <c r="E49" t="s">
        <v>45</v>
      </c>
      <c r="F49" t="s">
        <v>242</v>
      </c>
      <c r="G49" s="2" t="s">
        <v>241</v>
      </c>
      <c r="H49" t="s">
        <v>20</v>
      </c>
      <c r="J49" s="1"/>
      <c r="L49" s="1" t="s">
        <v>389</v>
      </c>
      <c r="M49" t="str">
        <f>IF(Fields[[#This Row],[Reference Entity]]&lt;&gt;"","t" &amp;Fields[[#This Row],[Reference Entity]],"")</f>
        <v/>
      </c>
      <c r="N49" t="str">
        <f>IF(Fields[[#This Row],[Reference Entity]]&lt;&gt;"",RIGHT(Fields[[#This Row],[Column Name]],LEN(Fields[[#This Row],[Column Name]])-2),"")</f>
        <v/>
      </c>
      <c r="P49" s="1"/>
      <c r="Q49" s="1"/>
      <c r="T49" s="1"/>
      <c r="U49" s="1"/>
    </row>
    <row r="50" spans="1:21" x14ac:dyDescent="0.25">
      <c r="A50">
        <v>1</v>
      </c>
      <c r="B50" t="s">
        <v>158</v>
      </c>
      <c r="C50" t="s">
        <v>218</v>
      </c>
      <c r="D50" s="1" t="s">
        <v>221</v>
      </c>
      <c r="E50" t="s">
        <v>498</v>
      </c>
      <c r="F50" t="s">
        <v>497</v>
      </c>
      <c r="G50" s="2"/>
      <c r="L50" s="1" t="s">
        <v>353</v>
      </c>
      <c r="M50" t="str">
        <f>IF(Fields[[#This Row],[Reference Entity]]&lt;&gt;"","t" &amp;Fields[[#This Row],[Reference Entity]],"")</f>
        <v>tBookRecord</v>
      </c>
      <c r="N50" t="str">
        <f>IF(Fields[[#This Row],[Reference Entity]]&lt;&gt;"",RIGHT(Fields[[#This Row],[Column Name]],LEN(Fields[[#This Row],[Column Name]])-2),"")</f>
        <v>BookingRecord</v>
      </c>
      <c r="O50" t="s">
        <v>143</v>
      </c>
      <c r="P50" s="1"/>
      <c r="Q50" t="str">
        <f>Fields[[#This Row],[Column Name]]</f>
        <v>idBookingRecord</v>
      </c>
      <c r="R50"/>
      <c r="S50"/>
    </row>
    <row r="51" spans="1:21" x14ac:dyDescent="0.25">
      <c r="A51">
        <v>2</v>
      </c>
      <c r="B51" t="s">
        <v>158</v>
      </c>
      <c r="C51" t="s">
        <v>5</v>
      </c>
      <c r="D51" s="1"/>
      <c r="E51" t="s">
        <v>498</v>
      </c>
      <c r="F51" t="s">
        <v>497</v>
      </c>
      <c r="G51" s="2"/>
      <c r="J51" s="1"/>
      <c r="L51" s="1" t="s">
        <v>148</v>
      </c>
      <c r="M51" t="str">
        <f>IF(Fields[[#This Row],[Reference Entity]]&lt;&gt;"","t" &amp;Fields[[#This Row],[Reference Entity]],"")</f>
        <v>tClient</v>
      </c>
      <c r="N51" t="s">
        <v>148</v>
      </c>
      <c r="P51" s="1"/>
      <c r="Q51" s="1" t="s">
        <v>5</v>
      </c>
      <c r="T51" s="1"/>
      <c r="U51" s="1"/>
    </row>
    <row r="52" spans="1:21" x14ac:dyDescent="0.25">
      <c r="A52">
        <v>3</v>
      </c>
      <c r="B52" t="s">
        <v>158</v>
      </c>
      <c r="C52" t="s">
        <v>53</v>
      </c>
      <c r="D52" s="1"/>
      <c r="E52" t="s">
        <v>498</v>
      </c>
      <c r="F52" t="s">
        <v>497</v>
      </c>
      <c r="G52" s="2"/>
      <c r="H52" t="s">
        <v>20</v>
      </c>
      <c r="J52" s="1"/>
      <c r="L52" s="1" t="s">
        <v>346</v>
      </c>
      <c r="M52" t="str">
        <f>IF(Fields[[#This Row],[Reference Entity]]&lt;&gt;"","t" &amp;Fields[[#This Row],[Reference Entity]],"")</f>
        <v>tPlan</v>
      </c>
      <c r="N52" t="s">
        <v>346</v>
      </c>
      <c r="P52" s="1"/>
      <c r="Q52" s="1" t="s">
        <v>53</v>
      </c>
      <c r="T52" s="1"/>
      <c r="U52" s="1"/>
    </row>
    <row r="53" spans="1:21" ht="30" x14ac:dyDescent="0.25">
      <c r="A53">
        <v>4</v>
      </c>
      <c r="B53" t="s">
        <v>158</v>
      </c>
      <c r="C53" t="s">
        <v>59</v>
      </c>
      <c r="D53" s="1"/>
      <c r="E53" t="s">
        <v>498</v>
      </c>
      <c r="F53" t="s">
        <v>497</v>
      </c>
      <c r="G53" s="2"/>
      <c r="H53" t="s">
        <v>20</v>
      </c>
      <c r="J53" s="1"/>
      <c r="L53" s="1" t="s">
        <v>347</v>
      </c>
      <c r="M53" t="str">
        <f>IF(Fields[[#This Row],[Reference Entity]]&lt;&gt;"","t" &amp;Fields[[#This Row],[Reference Entity]],"")</f>
        <v>tPlanElement</v>
      </c>
      <c r="N53" t="s">
        <v>347</v>
      </c>
      <c r="P53" s="1"/>
      <c r="Q53" s="1" t="s">
        <v>59</v>
      </c>
      <c r="T53" s="1"/>
      <c r="U53" s="1"/>
    </row>
    <row r="54" spans="1:21" x14ac:dyDescent="0.25">
      <c r="A54">
        <v>5</v>
      </c>
      <c r="B54" t="s">
        <v>158</v>
      </c>
      <c r="C54" t="s">
        <v>813</v>
      </c>
      <c r="D54" s="1" t="s">
        <v>222</v>
      </c>
      <c r="E54" t="s">
        <v>498</v>
      </c>
      <c r="F54" t="s">
        <v>497</v>
      </c>
      <c r="G54" s="2"/>
      <c r="J54" s="1"/>
      <c r="L54" s="1" t="s">
        <v>339</v>
      </c>
      <c r="M54" t="str">
        <f>IF(Fields[[#This Row],[Reference Entity]]&lt;&gt;"","t" &amp;Fields[[#This Row],[Reference Entity]],"")</f>
        <v>tAccount</v>
      </c>
      <c r="N54" t="str">
        <f>IF(Fields[[#This Row],[Reference Entity]]&lt;&gt;"",RIGHT(Fields[[#This Row],[Column Name]],LEN(Fields[[#This Row],[Column Name]])-2),"")</f>
        <v>AccountReport</v>
      </c>
      <c r="P54" s="1"/>
      <c r="Q54" t="str">
        <f>Fields[[#This Row],[Column Name]]</f>
        <v>idAccountReport</v>
      </c>
      <c r="S54"/>
    </row>
    <row r="55" spans="1:21" x14ac:dyDescent="0.25">
      <c r="A55">
        <v>6</v>
      </c>
      <c r="B55" t="s">
        <v>158</v>
      </c>
      <c r="C55" t="s">
        <v>817</v>
      </c>
      <c r="D55" s="1"/>
      <c r="E55" t="s">
        <v>498</v>
      </c>
      <c r="F55" t="s">
        <v>497</v>
      </c>
      <c r="G55" s="2"/>
      <c r="J55" s="1"/>
      <c r="L55" s="1" t="s">
        <v>339</v>
      </c>
      <c r="M55" t="str">
        <f>IF(Fields[[#This Row],[Reference Entity]]&lt;&gt;"","t" &amp;Fields[[#This Row],[Reference Entity]],"")</f>
        <v>tAccount</v>
      </c>
      <c r="N55" t="str">
        <f>IF(Fields[[#This Row],[Reference Entity]]&lt;&gt;"",RIGHT(Fields[[#This Row],[Column Name]],LEN(Fields[[#This Row],[Column Name]])-2),"")</f>
        <v>AccountBooking</v>
      </c>
      <c r="P55" s="1"/>
      <c r="Q55" t="str">
        <f>Fields[[#This Row],[Column Name]]</f>
        <v>idAccountBooking</v>
      </c>
      <c r="S55"/>
    </row>
    <row r="56" spans="1:21" x14ac:dyDescent="0.25">
      <c r="A56">
        <v>7</v>
      </c>
      <c r="B56" t="s">
        <v>158</v>
      </c>
      <c r="C56" t="s">
        <v>814</v>
      </c>
      <c r="D56" s="1"/>
      <c r="E56" t="s">
        <v>498</v>
      </c>
      <c r="F56" t="s">
        <v>497</v>
      </c>
      <c r="G56" s="2"/>
      <c r="H56" t="s">
        <v>20</v>
      </c>
      <c r="J56" s="1"/>
      <c r="L56" s="1" t="s">
        <v>341</v>
      </c>
      <c r="M56" t="str">
        <f>IF(Fields[[#This Row],[Reference Entity]]&lt;&gt;"","t" &amp;Fields[[#This Row],[Reference Entity]],"")</f>
        <v>tCostCenter</v>
      </c>
      <c r="N56" t="str">
        <f>IF(Fields[[#This Row],[Reference Entity]]&lt;&gt;"",RIGHT(Fields[[#This Row],[Column Name]],LEN(Fields[[#This Row],[Column Name]])-2),"")</f>
        <v>CostCenter</v>
      </c>
      <c r="P56" s="1"/>
      <c r="Q56" t="str">
        <f>Fields[[#This Row],[Column Name]]</f>
        <v>idCostCenter</v>
      </c>
      <c r="S56"/>
    </row>
    <row r="57" spans="1:21" x14ac:dyDescent="0.25">
      <c r="A57">
        <v>8</v>
      </c>
      <c r="B57" t="s">
        <v>158</v>
      </c>
      <c r="C57" t="s">
        <v>816</v>
      </c>
      <c r="D57" s="1"/>
      <c r="E57" t="s">
        <v>16</v>
      </c>
      <c r="F57" t="s">
        <v>4</v>
      </c>
      <c r="G57" s="2"/>
      <c r="H57" t="s">
        <v>20</v>
      </c>
      <c r="J57" s="4" t="s">
        <v>171</v>
      </c>
      <c r="L57" s="1"/>
      <c r="M57" t="str">
        <f>IF(Fields[[#This Row],[Reference Entity]]&lt;&gt;"","t" &amp;Fields[[#This Row],[Reference Entity]],"")</f>
        <v/>
      </c>
      <c r="P57" s="1"/>
      <c r="Q57" s="1"/>
      <c r="T57" s="1"/>
      <c r="U57" s="1"/>
    </row>
    <row r="58" spans="1:21" x14ac:dyDescent="0.25">
      <c r="A58">
        <v>9</v>
      </c>
      <c r="B58" t="s">
        <v>158</v>
      </c>
      <c r="C58" t="s">
        <v>289</v>
      </c>
      <c r="D58" s="1"/>
      <c r="E58" t="s">
        <v>19</v>
      </c>
      <c r="F58" t="s">
        <v>242</v>
      </c>
      <c r="G58" s="2">
        <v>12</v>
      </c>
      <c r="H58" t="s">
        <v>20</v>
      </c>
      <c r="J58" s="1"/>
      <c r="L58" s="1"/>
      <c r="M58" t="str">
        <f>IF(Fields[[#This Row],[Reference Entity]]&lt;&gt;"","t" &amp;Fields[[#This Row],[Reference Entity]],"")</f>
        <v/>
      </c>
      <c r="P58" s="1"/>
      <c r="Q58" s="1"/>
      <c r="T58" s="1"/>
      <c r="U58" s="1"/>
    </row>
    <row r="59" spans="1:21" x14ac:dyDescent="0.25">
      <c r="A59">
        <v>10</v>
      </c>
      <c r="B59" t="s">
        <v>158</v>
      </c>
      <c r="C59" t="s">
        <v>322</v>
      </c>
      <c r="D59" s="1"/>
      <c r="E59" t="s">
        <v>124</v>
      </c>
      <c r="F59" t="s">
        <v>236</v>
      </c>
      <c r="G59" s="2"/>
      <c r="H59" t="s">
        <v>20</v>
      </c>
      <c r="J59" s="1"/>
      <c r="L59" s="1"/>
      <c r="M59" t="str">
        <f>IF(Fields[[#This Row],[Reference Entity]]&lt;&gt;"","t" &amp;Fields[[#This Row],[Reference Entity]],"")</f>
        <v/>
      </c>
      <c r="P59" s="1"/>
      <c r="Q59" s="1"/>
      <c r="T59" s="1"/>
      <c r="U59" s="1"/>
    </row>
    <row r="60" spans="1:21" x14ac:dyDescent="0.25">
      <c r="A60">
        <v>11</v>
      </c>
      <c r="B60" t="s">
        <v>158</v>
      </c>
      <c r="C60" t="s">
        <v>295</v>
      </c>
      <c r="D60" s="1"/>
      <c r="E60" t="s">
        <v>17</v>
      </c>
      <c r="F60" t="s">
        <v>395</v>
      </c>
      <c r="G60" s="2"/>
      <c r="H60" t="s">
        <v>20</v>
      </c>
      <c r="J60" s="1"/>
      <c r="L60" s="1"/>
      <c r="M60" t="str">
        <f>IF(Fields[[#This Row],[Reference Entity]]&lt;&gt;"","t" &amp;Fields[[#This Row],[Reference Entity]],"")</f>
        <v/>
      </c>
      <c r="P60" s="1"/>
      <c r="Q60" s="1"/>
      <c r="T60" s="1"/>
      <c r="U60" s="1"/>
    </row>
    <row r="61" spans="1:21" x14ac:dyDescent="0.25">
      <c r="A61">
        <v>12</v>
      </c>
      <c r="B61" t="s">
        <v>158</v>
      </c>
      <c r="C61" t="s">
        <v>815</v>
      </c>
      <c r="D61" s="1"/>
      <c r="E61" t="s">
        <v>30</v>
      </c>
      <c r="F61" t="s">
        <v>4</v>
      </c>
      <c r="G61" s="2"/>
      <c r="J61" s="1"/>
      <c r="L61" s="1"/>
      <c r="M61" t="str">
        <f>IF(Fields[[#This Row],[Reference Entity]]&lt;&gt;"","t" &amp;Fields[[#This Row],[Reference Entity]],"")</f>
        <v/>
      </c>
      <c r="P61" s="1"/>
      <c r="Q61" s="1"/>
      <c r="T61" s="1"/>
      <c r="U61" s="1"/>
    </row>
    <row r="62" spans="1:21" x14ac:dyDescent="0.25">
      <c r="A62">
        <v>13</v>
      </c>
      <c r="B62" t="s">
        <v>158</v>
      </c>
      <c r="C62" t="s">
        <v>219</v>
      </c>
      <c r="D62" s="1" t="s">
        <v>223</v>
      </c>
      <c r="E62" t="s">
        <v>60</v>
      </c>
      <c r="F62" t="s">
        <v>237</v>
      </c>
      <c r="G62" s="2"/>
      <c r="J62" s="1"/>
      <c r="L62" s="1" t="s">
        <v>389</v>
      </c>
      <c r="M62" t="str">
        <f>IF(Fields[[#This Row],[Reference Entity]]&lt;&gt;"","t" &amp;Fields[[#This Row],[Reference Entity]],"")</f>
        <v/>
      </c>
      <c r="N62" t="str">
        <f>IF(Fields[[#This Row],[Reference Entity]]&lt;&gt;"",RIGHT(Fields[[#This Row],[Column Name]],LEN(Fields[[#This Row],[Column Name]])-2),"")</f>
        <v/>
      </c>
      <c r="P62" s="1"/>
      <c r="Q62" s="1"/>
      <c r="T62" s="1"/>
      <c r="U62" s="1"/>
    </row>
    <row r="63" spans="1:21" x14ac:dyDescent="0.25">
      <c r="A63">
        <v>14</v>
      </c>
      <c r="B63" t="s">
        <v>158</v>
      </c>
      <c r="C63" t="s">
        <v>220</v>
      </c>
      <c r="D63" s="1" t="s">
        <v>224</v>
      </c>
      <c r="E63" t="s">
        <v>60</v>
      </c>
      <c r="F63" t="s">
        <v>237</v>
      </c>
      <c r="G63" s="2"/>
      <c r="J63" s="1"/>
      <c r="L63" s="1" t="s">
        <v>389</v>
      </c>
      <c r="M63" t="str">
        <f>IF(Fields[[#This Row],[Reference Entity]]&lt;&gt;"","t" &amp;Fields[[#This Row],[Reference Entity]],"")</f>
        <v/>
      </c>
      <c r="N63" t="str">
        <f>IF(Fields[[#This Row],[Reference Entity]]&lt;&gt;"",RIGHT(Fields[[#This Row],[Column Name]],LEN(Fields[[#This Row],[Column Name]])-2),"")</f>
        <v/>
      </c>
      <c r="P63" s="1"/>
      <c r="Q63" s="1"/>
      <c r="T63" s="1"/>
      <c r="U63" s="1"/>
    </row>
    <row r="64" spans="1:21" x14ac:dyDescent="0.25">
      <c r="A64">
        <v>1</v>
      </c>
      <c r="B64" t="s">
        <v>8</v>
      </c>
      <c r="C64" t="s">
        <v>307</v>
      </c>
      <c r="D64" s="1" t="s">
        <v>21</v>
      </c>
      <c r="E64" t="s">
        <v>19</v>
      </c>
      <c r="F64" t="s">
        <v>242</v>
      </c>
      <c r="G64" s="2">
        <v>30</v>
      </c>
      <c r="L64" s="1" t="s">
        <v>389</v>
      </c>
      <c r="M64" t="str">
        <f>IF(Fields[[#This Row],[Reference Entity]]&lt;&gt;"","t" &amp;Fields[[#This Row],[Reference Entity]],"")</f>
        <v/>
      </c>
      <c r="N64" t="str">
        <f>IF(Fields[[#This Row],[Reference Entity]]&lt;&gt;"",RIGHT(Fields[[#This Row],[Column Name]],LEN(Fields[[#This Row],[Column Name]])-2),"")</f>
        <v/>
      </c>
      <c r="P64" s="1"/>
      <c r="R64"/>
      <c r="S64"/>
    </row>
    <row r="65" spans="1:19" ht="30" x14ac:dyDescent="0.25">
      <c r="A65">
        <v>2</v>
      </c>
      <c r="B65" t="s">
        <v>8</v>
      </c>
      <c r="C65" t="s">
        <v>302</v>
      </c>
      <c r="D65" s="1" t="s">
        <v>110</v>
      </c>
      <c r="E65" t="s">
        <v>498</v>
      </c>
      <c r="F65" t="s">
        <v>497</v>
      </c>
      <c r="G65" s="2"/>
      <c r="L65" s="1" t="s">
        <v>337</v>
      </c>
      <c r="M65" t="str">
        <f>IF(Fields[[#This Row],[Reference Entity]]&lt;&gt;"","t" &amp;Fields[[#This Row],[Reference Entity]],"")</f>
        <v>tCurrency</v>
      </c>
      <c r="N65" t="str">
        <f>IF(Fields[[#This Row],[Reference Entity]]&lt;&gt;"",RIGHT(Fields[[#This Row],[Column Name]],LEN(Fields[[#This Row],[Column Name]])-2),"")</f>
        <v>CurrencyClient</v>
      </c>
      <c r="P65" s="1"/>
      <c r="Q65" t="str">
        <f>Fields[[#This Row],[Column Name]]</f>
        <v>idCurrencyClient</v>
      </c>
      <c r="R65"/>
      <c r="S65"/>
    </row>
    <row r="66" spans="1:19" x14ac:dyDescent="0.25">
      <c r="A66">
        <v>3</v>
      </c>
      <c r="B66" t="s">
        <v>8</v>
      </c>
      <c r="C66" t="s">
        <v>152</v>
      </c>
      <c r="D66" s="1" t="s">
        <v>153</v>
      </c>
      <c r="E66" t="s">
        <v>18</v>
      </c>
      <c r="F66" t="s">
        <v>6</v>
      </c>
      <c r="G66" s="2"/>
      <c r="I66">
        <v>0</v>
      </c>
      <c r="L66" s="1" t="s">
        <v>389</v>
      </c>
      <c r="M66" t="str">
        <f>IF(Fields[[#This Row],[Reference Entity]]&lt;&gt;"","t" &amp;Fields[[#This Row],[Reference Entity]],"")</f>
        <v/>
      </c>
      <c r="N66" t="str">
        <f>IF(Fields[[#This Row],[Reference Entity]]&lt;&gt;"",RIGHT(Fields[[#This Row],[Column Name]],LEN(Fields[[#This Row],[Column Name]])-2),"")</f>
        <v/>
      </c>
      <c r="P66" s="1"/>
      <c r="R66"/>
      <c r="S66"/>
    </row>
    <row r="67" spans="1:19" x14ac:dyDescent="0.25">
      <c r="A67">
        <v>4</v>
      </c>
      <c r="B67" t="s">
        <v>8</v>
      </c>
      <c r="C67" t="s">
        <v>202</v>
      </c>
      <c r="D67" s="1" t="s">
        <v>203</v>
      </c>
      <c r="E67" t="s">
        <v>30</v>
      </c>
      <c r="F67" t="s">
        <v>4</v>
      </c>
      <c r="G67" s="2"/>
      <c r="I67">
        <v>1</v>
      </c>
      <c r="L67" s="1" t="s">
        <v>389</v>
      </c>
      <c r="M67" t="str">
        <f>IF(Fields[[#This Row],[Reference Entity]]&lt;&gt;"","t" &amp;Fields[[#This Row],[Reference Entity]],"")</f>
        <v/>
      </c>
      <c r="N67" t="str">
        <f>IF(Fields[[#This Row],[Reference Entity]]&lt;&gt;"",RIGHT(Fields[[#This Row],[Column Name]],LEN(Fields[[#This Row],[Column Name]])-2),"")</f>
        <v/>
      </c>
      <c r="P67" s="1"/>
      <c r="R67"/>
      <c r="S67"/>
    </row>
    <row r="68" spans="1:19" x14ac:dyDescent="0.25">
      <c r="A68">
        <v>5</v>
      </c>
      <c r="B68" t="s">
        <v>8</v>
      </c>
      <c r="C68" t="s">
        <v>753</v>
      </c>
      <c r="D68" s="1" t="s">
        <v>754</v>
      </c>
      <c r="E68" t="s">
        <v>30</v>
      </c>
      <c r="F68" t="s">
        <v>4</v>
      </c>
      <c r="G68" s="2"/>
      <c r="H68" t="s">
        <v>20</v>
      </c>
      <c r="L68" s="1"/>
      <c r="M68" t="str">
        <f>IF(Fields[[#This Row],[Reference Entity]]&lt;&gt;"","t" &amp;Fields[[#This Row],[Reference Entity]],"")</f>
        <v/>
      </c>
      <c r="P68" s="1"/>
      <c r="R68"/>
      <c r="S68"/>
    </row>
    <row r="69" spans="1:19" x14ac:dyDescent="0.25">
      <c r="A69">
        <v>1</v>
      </c>
      <c r="B69" t="s">
        <v>9</v>
      </c>
      <c r="C69" t="s">
        <v>5</v>
      </c>
      <c r="D69" s="1" t="s">
        <v>10</v>
      </c>
      <c r="E69" t="s">
        <v>498</v>
      </c>
      <c r="F69" t="s">
        <v>497</v>
      </c>
      <c r="G69" s="2"/>
      <c r="L69" s="1" t="s">
        <v>148</v>
      </c>
      <c r="M69" t="str">
        <f>IF(Fields[[#This Row],[Reference Entity]]&lt;&gt;"","t" &amp;Fields[[#This Row],[Reference Entity]],"")</f>
        <v>tClient</v>
      </c>
      <c r="N69" t="str">
        <f>IF(Fields[[#This Row],[Reference Entity]]&lt;&gt;"",RIGHT(Fields[[#This Row],[Column Name]],LEN(Fields[[#This Row],[Column Name]])-2),"")</f>
        <v>Client</v>
      </c>
      <c r="O69" t="s">
        <v>143</v>
      </c>
      <c r="P69" s="1"/>
      <c r="Q69" t="s">
        <v>25</v>
      </c>
      <c r="R69" t="s">
        <v>20</v>
      </c>
      <c r="S69"/>
    </row>
    <row r="70" spans="1:19" x14ac:dyDescent="0.25">
      <c r="A70">
        <v>2</v>
      </c>
      <c r="B70" t="s">
        <v>9</v>
      </c>
      <c r="C70" t="s">
        <v>289</v>
      </c>
      <c r="D70" s="1" t="s">
        <v>26</v>
      </c>
      <c r="E70" t="s">
        <v>19</v>
      </c>
      <c r="F70" t="s">
        <v>242</v>
      </c>
      <c r="G70" s="2">
        <v>12</v>
      </c>
      <c r="L70" s="1" t="s">
        <v>389</v>
      </c>
      <c r="M70" t="str">
        <f>IF(Fields[[#This Row],[Reference Entity]]&lt;&gt;"","t" &amp;Fields[[#This Row],[Reference Entity]],"")</f>
        <v/>
      </c>
      <c r="N70" t="str">
        <f>IF(Fields[[#This Row],[Reference Entity]]&lt;&gt;"",RIGHT(Fields[[#This Row],[Column Name]],LEN(Fields[[#This Row],[Column Name]])-2),"")</f>
        <v/>
      </c>
      <c r="P70" s="1"/>
      <c r="Q70" t="s">
        <v>25</v>
      </c>
      <c r="R70" t="s">
        <v>20</v>
      </c>
      <c r="S70"/>
    </row>
    <row r="71" spans="1:19" x14ac:dyDescent="0.25">
      <c r="A71">
        <v>3</v>
      </c>
      <c r="B71" t="s">
        <v>9</v>
      </c>
      <c r="C71" t="s">
        <v>308</v>
      </c>
      <c r="D71" s="1" t="s">
        <v>27</v>
      </c>
      <c r="E71" t="s">
        <v>19</v>
      </c>
      <c r="F71" t="s">
        <v>242</v>
      </c>
      <c r="G71" s="2">
        <v>50</v>
      </c>
      <c r="L71" s="1" t="s">
        <v>389</v>
      </c>
      <c r="M71" t="str">
        <f>IF(Fields[[#This Row],[Reference Entity]]&lt;&gt;"","t" &amp;Fields[[#This Row],[Reference Entity]],"")</f>
        <v/>
      </c>
      <c r="N71" t="str">
        <f>IF(Fields[[#This Row],[Reference Entity]]&lt;&gt;"",RIGHT(Fields[[#This Row],[Column Name]],LEN(Fields[[#This Row],[Column Name]])-2),"")</f>
        <v/>
      </c>
      <c r="P71" s="1"/>
      <c r="R71"/>
      <c r="S71"/>
    </row>
    <row r="72" spans="1:19" x14ac:dyDescent="0.25">
      <c r="A72">
        <v>4</v>
      </c>
      <c r="B72" t="s">
        <v>9</v>
      </c>
      <c r="C72" t="s">
        <v>581</v>
      </c>
      <c r="D72" s="1"/>
      <c r="E72" t="s">
        <v>19</v>
      </c>
      <c r="F72" t="s">
        <v>242</v>
      </c>
      <c r="G72" s="2">
        <v>50</v>
      </c>
      <c r="H72" t="s">
        <v>20</v>
      </c>
      <c r="L72" s="1"/>
      <c r="M72" t="str">
        <f>IF(Fields[[#This Row],[Reference Entity]]&lt;&gt;"","t" &amp;Fields[[#This Row],[Reference Entity]],"")</f>
        <v/>
      </c>
      <c r="P72" s="1"/>
      <c r="R72"/>
      <c r="S72"/>
    </row>
    <row r="73" spans="1:19" x14ac:dyDescent="0.25">
      <c r="A73">
        <v>5</v>
      </c>
      <c r="B73" t="s">
        <v>9</v>
      </c>
      <c r="C73" t="s">
        <v>67</v>
      </c>
      <c r="D73" s="1" t="s">
        <v>28</v>
      </c>
      <c r="E73" t="s">
        <v>18</v>
      </c>
      <c r="F73" t="s">
        <v>6</v>
      </c>
      <c r="G73" s="2"/>
      <c r="I73">
        <v>0</v>
      </c>
      <c r="L73" s="1" t="s">
        <v>389</v>
      </c>
      <c r="M73" t="str">
        <f>IF(Fields[[#This Row],[Reference Entity]]&lt;&gt;"","t" &amp;Fields[[#This Row],[Reference Entity]],"")</f>
        <v/>
      </c>
      <c r="N73" t="str">
        <f>IF(Fields[[#This Row],[Reference Entity]]&lt;&gt;"",RIGHT(Fields[[#This Row],[Column Name]],LEN(Fields[[#This Row],[Column Name]])-2),"")</f>
        <v/>
      </c>
      <c r="P73" s="1"/>
      <c r="R73"/>
      <c r="S73"/>
    </row>
    <row r="74" spans="1:19" x14ac:dyDescent="0.25">
      <c r="A74">
        <v>6</v>
      </c>
      <c r="B74" t="s">
        <v>9</v>
      </c>
      <c r="C74" t="s">
        <v>582</v>
      </c>
      <c r="D74" s="1"/>
      <c r="E74" t="s">
        <v>45</v>
      </c>
      <c r="F74" t="s">
        <v>242</v>
      </c>
      <c r="G74" s="2" t="s">
        <v>241</v>
      </c>
      <c r="H74" t="s">
        <v>20</v>
      </c>
      <c r="L74" s="1"/>
      <c r="M74" t="str">
        <f>IF(Fields[[#This Row],[Reference Entity]]&lt;&gt;"","t" &amp;Fields[[#This Row],[Reference Entity]],"")</f>
        <v/>
      </c>
      <c r="P74" s="1"/>
      <c r="R74"/>
      <c r="S74"/>
    </row>
    <row r="75" spans="1:19" x14ac:dyDescent="0.25">
      <c r="A75">
        <v>1</v>
      </c>
      <c r="B75" t="s">
        <v>65</v>
      </c>
      <c r="C75" t="s">
        <v>290</v>
      </c>
      <c r="D75" s="1" t="s">
        <v>112</v>
      </c>
      <c r="E75" t="s">
        <v>19</v>
      </c>
      <c r="F75" t="s">
        <v>242</v>
      </c>
      <c r="G75" s="2">
        <v>3</v>
      </c>
      <c r="L75" s="1" t="s">
        <v>389</v>
      </c>
      <c r="M75" t="str">
        <f>IF(Fields[[#This Row],[Reference Entity]]&lt;&gt;"","t" &amp;Fields[[#This Row],[Reference Entity]],"")</f>
        <v/>
      </c>
      <c r="N75" t="str">
        <f>IF(Fields[[#This Row],[Reference Entity]]&lt;&gt;"",RIGHT(Fields[[#This Row],[Column Name]],LEN(Fields[[#This Row],[Column Name]])-2),"")</f>
        <v/>
      </c>
      <c r="P75" s="1"/>
      <c r="R75"/>
      <c r="S75"/>
    </row>
    <row r="76" spans="1:19" x14ac:dyDescent="0.25">
      <c r="A76">
        <v>2</v>
      </c>
      <c r="B76" t="s">
        <v>65</v>
      </c>
      <c r="C76" t="s">
        <v>309</v>
      </c>
      <c r="D76" s="1" t="s">
        <v>113</v>
      </c>
      <c r="E76" t="s">
        <v>19</v>
      </c>
      <c r="F76" t="s">
        <v>242</v>
      </c>
      <c r="G76" s="2">
        <v>30</v>
      </c>
      <c r="L76" s="1" t="s">
        <v>389</v>
      </c>
      <c r="M76" t="str">
        <f>IF(Fields[[#This Row],[Reference Entity]]&lt;&gt;"","t" &amp;Fields[[#This Row],[Reference Entity]],"")</f>
        <v/>
      </c>
      <c r="N76" t="str">
        <f>IF(Fields[[#This Row],[Reference Entity]]&lt;&gt;"",RIGHT(Fields[[#This Row],[Column Name]],LEN(Fields[[#This Row],[Column Name]])-2),"")</f>
        <v/>
      </c>
      <c r="P76" s="1"/>
      <c r="R76"/>
      <c r="S76"/>
    </row>
    <row r="77" spans="1:19" ht="30" x14ac:dyDescent="0.25">
      <c r="A77">
        <v>1</v>
      </c>
      <c r="B77" t="s">
        <v>522</v>
      </c>
      <c r="C77" t="s">
        <v>5</v>
      </c>
      <c r="D77" s="1" t="s">
        <v>524</v>
      </c>
      <c r="E77" t="s">
        <v>498</v>
      </c>
      <c r="F77" t="s">
        <v>497</v>
      </c>
      <c r="G77" s="2"/>
      <c r="L77" s="1" t="s">
        <v>148</v>
      </c>
      <c r="M77" t="str">
        <f>IF(Fields[[#This Row],[Reference Entity]]&lt;&gt;"","t" &amp;Fields[[#This Row],[Reference Entity]],"")</f>
        <v>tClient</v>
      </c>
      <c r="N77" t="str">
        <f>IF(Fields[[#This Row],[Reference Entity]]&lt;&gt;"",RIGHT(Fields[[#This Row],[Column Name]],LEN(Fields[[#This Row],[Column Name]])-2),"")</f>
        <v>Client</v>
      </c>
      <c r="O77" t="s">
        <v>143</v>
      </c>
      <c r="P77" s="1"/>
      <c r="Q77" t="str">
        <f>Fields[[#This Row],[Column Name]]</f>
        <v>idClient</v>
      </c>
      <c r="R77"/>
      <c r="S77"/>
    </row>
    <row r="78" spans="1:19" ht="45" x14ac:dyDescent="0.25">
      <c r="A78">
        <v>2</v>
      </c>
      <c r="B78" t="s">
        <v>522</v>
      </c>
      <c r="C78" t="s">
        <v>53</v>
      </c>
      <c r="D78" s="1" t="s">
        <v>523</v>
      </c>
      <c r="E78" t="s">
        <v>498</v>
      </c>
      <c r="F78" t="s">
        <v>497</v>
      </c>
      <c r="G78" s="2"/>
      <c r="H78" t="s">
        <v>20</v>
      </c>
      <c r="L78" s="1" t="s">
        <v>346</v>
      </c>
      <c r="M78" t="str">
        <f>IF(Fields[[#This Row],[Reference Entity]]&lt;&gt;"","t" &amp;Fields[[#This Row],[Reference Entity]],"")</f>
        <v>tPlan</v>
      </c>
      <c r="N78" t="str">
        <f>IF(Fields[[#This Row],[Reference Entity]]&lt;&gt;"",RIGHT(Fields[[#This Row],[Column Name]],LEN(Fields[[#This Row],[Column Name]])-2),"")</f>
        <v>Plan</v>
      </c>
      <c r="P78" s="1"/>
      <c r="Q78" t="str">
        <f>Fields[[#This Row],[Column Name]]</f>
        <v>idPlan</v>
      </c>
      <c r="R78"/>
      <c r="S78"/>
    </row>
    <row r="79" spans="1:19" x14ac:dyDescent="0.25">
      <c r="A79">
        <v>3</v>
      </c>
      <c r="B79" t="s">
        <v>522</v>
      </c>
      <c r="C79" t="s">
        <v>303</v>
      </c>
      <c r="D79" s="1" t="s">
        <v>114</v>
      </c>
      <c r="E79" t="s">
        <v>498</v>
      </c>
      <c r="F79" t="s">
        <v>497</v>
      </c>
      <c r="G79" s="2"/>
      <c r="L79" s="1" t="s">
        <v>337</v>
      </c>
      <c r="M79" t="str">
        <f>IF(Fields[[#This Row],[Reference Entity]]&lt;&gt;"","t" &amp;Fields[[#This Row],[Reference Entity]],"")</f>
        <v>tCurrency</v>
      </c>
      <c r="N79" t="str">
        <f>IF(Fields[[#This Row],[Reference Entity]]&lt;&gt;"",RIGHT(Fields[[#This Row],[Column Name]],LEN(Fields[[#This Row],[Column Name]])-2),"")</f>
        <v>CurrencyExchangeRate</v>
      </c>
      <c r="P79" s="1"/>
      <c r="Q79" t="str">
        <f>Fields[[#This Row],[Column Name]]</f>
        <v>idCurrencyExchangeRate</v>
      </c>
      <c r="R79"/>
      <c r="S79"/>
    </row>
    <row r="80" spans="1:19" ht="30" x14ac:dyDescent="0.25">
      <c r="A80">
        <v>4</v>
      </c>
      <c r="B80" t="s">
        <v>522</v>
      </c>
      <c r="C80" t="s">
        <v>525</v>
      </c>
      <c r="D80" s="1" t="s">
        <v>526</v>
      </c>
      <c r="E80" t="s">
        <v>17</v>
      </c>
      <c r="F80" t="s">
        <v>395</v>
      </c>
      <c r="G80" s="2"/>
      <c r="L80" s="1"/>
      <c r="M80" t="str">
        <f>IF(Fields[[#This Row],[Reference Entity]]&lt;&gt;"","t" &amp;Fields[[#This Row],[Reference Entity]],"")</f>
        <v/>
      </c>
      <c r="P80" s="1"/>
      <c r="Q80" t="s">
        <v>527</v>
      </c>
      <c r="R80"/>
      <c r="S80"/>
    </row>
    <row r="81" spans="1:22" x14ac:dyDescent="0.25">
      <c r="A81">
        <v>5</v>
      </c>
      <c r="B81" t="s">
        <v>522</v>
      </c>
      <c r="C81" t="s">
        <v>115</v>
      </c>
      <c r="D81" s="1" t="s">
        <v>116</v>
      </c>
      <c r="E81" t="s">
        <v>60</v>
      </c>
      <c r="F81" t="s">
        <v>237</v>
      </c>
      <c r="G81" s="2"/>
      <c r="L81" s="1" t="s">
        <v>389</v>
      </c>
      <c r="M81" t="str">
        <f>IF(Fields[[#This Row],[Reference Entity]]&lt;&gt;"","t" &amp;Fields[[#This Row],[Reference Entity]],"")</f>
        <v/>
      </c>
      <c r="N81" t="str">
        <f>IF(Fields[[#This Row],[Reference Entity]]&lt;&gt;"",RIGHT(Fields[[#This Row],[Column Name]],LEN(Fields[[#This Row],[Column Name]])-2),"")</f>
        <v/>
      </c>
      <c r="P81" s="1"/>
      <c r="R81"/>
      <c r="S81"/>
    </row>
    <row r="82" spans="1:22" x14ac:dyDescent="0.25">
      <c r="A82">
        <v>1</v>
      </c>
      <c r="B82" t="s">
        <v>159</v>
      </c>
      <c r="C82" t="s">
        <v>5</v>
      </c>
      <c r="D82" s="1" t="s">
        <v>175</v>
      </c>
      <c r="E82" t="s">
        <v>498</v>
      </c>
      <c r="F82" t="s">
        <v>497</v>
      </c>
      <c r="G82" s="2"/>
      <c r="L82" s="1" t="s">
        <v>148</v>
      </c>
      <c r="M82" t="str">
        <f>IF(Fields[[#This Row],[Reference Entity]]&lt;&gt;"","t" &amp;Fields[[#This Row],[Reference Entity]],"")</f>
        <v>tClient</v>
      </c>
      <c r="N82" t="str">
        <f>IF(Fields[[#This Row],[Reference Entity]]&lt;&gt;"",RIGHT(Fields[[#This Row],[Column Name]],LEN(Fields[[#This Row],[Column Name]])-2),"")</f>
        <v>Client</v>
      </c>
      <c r="O82" t="s">
        <v>143</v>
      </c>
      <c r="P82" s="1"/>
      <c r="Q82" t="str">
        <f>Fields[[#This Row],[Column Name]]</f>
        <v>idClient</v>
      </c>
      <c r="R82"/>
      <c r="S82"/>
      <c r="V82" s="1"/>
    </row>
    <row r="83" spans="1:22" x14ac:dyDescent="0.25">
      <c r="A83">
        <v>2</v>
      </c>
      <c r="B83" t="s">
        <v>159</v>
      </c>
      <c r="C83" t="s">
        <v>515</v>
      </c>
      <c r="D83" s="1" t="s">
        <v>516</v>
      </c>
      <c r="E83" t="s">
        <v>498</v>
      </c>
      <c r="F83" t="s">
        <v>497</v>
      </c>
      <c r="G83" s="2"/>
      <c r="L83" s="1" t="s">
        <v>339</v>
      </c>
      <c r="M83" t="str">
        <f>IF(Fields[[#This Row],[Reference Entity]]&lt;&gt;"","t" &amp;Fields[[#This Row],[Reference Entity]],"")</f>
        <v>tAccount</v>
      </c>
      <c r="N83" t="str">
        <f>IF(Fields[[#This Row],[Reference Entity]]&lt;&gt;"",RIGHT(Fields[[#This Row],[Column Name]],LEN(Fields[[#This Row],[Column Name]])-2),"")</f>
        <v>AccountActivation</v>
      </c>
      <c r="P83" s="1"/>
      <c r="Q83" t="str">
        <f>Fields[[#This Row],[Column Name]]</f>
        <v>idAccountActivation</v>
      </c>
      <c r="R83"/>
      <c r="S83"/>
      <c r="U83" t="s">
        <v>518</v>
      </c>
      <c r="V83" s="1"/>
    </row>
    <row r="84" spans="1:22" ht="30" x14ac:dyDescent="0.25">
      <c r="A84">
        <v>3</v>
      </c>
      <c r="B84" t="s">
        <v>159</v>
      </c>
      <c r="C84" t="s">
        <v>187</v>
      </c>
      <c r="D84" s="1" t="s">
        <v>812</v>
      </c>
      <c r="E84" t="s">
        <v>498</v>
      </c>
      <c r="F84" t="s">
        <v>497</v>
      </c>
      <c r="G84" s="2"/>
      <c r="H84" t="s">
        <v>20</v>
      </c>
      <c r="L84" s="1" t="s">
        <v>339</v>
      </c>
      <c r="M84" t="str">
        <f>IF(Fields[[#This Row],[Reference Entity]]&lt;&gt;"","t" &amp;Fields[[#This Row],[Reference Entity]],"")</f>
        <v>tAccount</v>
      </c>
      <c r="N84" t="str">
        <f>IF(Fields[[#This Row],[Reference Entity]]&lt;&gt;"",RIGHT(Fields[[#This Row],[Column Name]],LEN(Fields[[#This Row],[Column Name]])-2),"")</f>
        <v>AccountDepreciation</v>
      </c>
      <c r="P84" s="1"/>
      <c r="Q84" t="str">
        <f>Fields[[#This Row],[Column Name]]</f>
        <v>idAccountDepreciation</v>
      </c>
      <c r="R84"/>
      <c r="S84"/>
      <c r="U84" t="s">
        <v>519</v>
      </c>
      <c r="V84" s="1"/>
    </row>
    <row r="85" spans="1:22" x14ac:dyDescent="0.25">
      <c r="A85">
        <v>4</v>
      </c>
      <c r="B85" t="s">
        <v>159</v>
      </c>
      <c r="C85" t="s">
        <v>310</v>
      </c>
      <c r="D85" s="1"/>
      <c r="E85" t="s">
        <v>19</v>
      </c>
      <c r="F85" t="s">
        <v>242</v>
      </c>
      <c r="G85" s="2">
        <v>50</v>
      </c>
      <c r="J85" s="1"/>
      <c r="L85" s="1" t="s">
        <v>389</v>
      </c>
      <c r="M85" t="str">
        <f>IF(Fields[[#This Row],[Reference Entity]]&lt;&gt;"","t" &amp;Fields[[#This Row],[Reference Entity]],"")</f>
        <v/>
      </c>
      <c r="N85" t="str">
        <f>IF(Fields[[#This Row],[Reference Entity]]&lt;&gt;"",RIGHT(Fields[[#This Row],[Column Name]],LEN(Fields[[#This Row],[Column Name]])-2),"")</f>
        <v/>
      </c>
      <c r="P85" s="1"/>
      <c r="Q85" s="1"/>
      <c r="T85" s="1"/>
      <c r="U85" s="1"/>
    </row>
    <row r="86" spans="1:22" x14ac:dyDescent="0.25">
      <c r="A86">
        <v>5</v>
      </c>
      <c r="B86" t="s">
        <v>159</v>
      </c>
      <c r="C86" t="s">
        <v>185</v>
      </c>
      <c r="D86" s="1"/>
      <c r="E86" t="s">
        <v>30</v>
      </c>
      <c r="F86" t="s">
        <v>4</v>
      </c>
      <c r="G86" s="2"/>
      <c r="J86" s="1"/>
      <c r="L86" s="1" t="s">
        <v>389</v>
      </c>
      <c r="M86" t="str">
        <f>IF(Fields[[#This Row],[Reference Entity]]&lt;&gt;"","t" &amp;Fields[[#This Row],[Reference Entity]],"")</f>
        <v/>
      </c>
      <c r="N86" t="str">
        <f>IF(Fields[[#This Row],[Reference Entity]]&lt;&gt;"",RIGHT(Fields[[#This Row],[Column Name]],LEN(Fields[[#This Row],[Column Name]])-2),"")</f>
        <v/>
      </c>
      <c r="P86" s="1"/>
      <c r="Q86" s="1"/>
      <c r="T86" s="1"/>
      <c r="U86" s="1"/>
    </row>
    <row r="87" spans="1:22" x14ac:dyDescent="0.25">
      <c r="A87">
        <v>6</v>
      </c>
      <c r="B87" t="s">
        <v>159</v>
      </c>
      <c r="C87" t="s">
        <v>186</v>
      </c>
      <c r="D87" s="1"/>
      <c r="E87" t="s">
        <v>30</v>
      </c>
      <c r="F87" t="s">
        <v>4</v>
      </c>
      <c r="G87" s="2"/>
      <c r="I87">
        <v>1</v>
      </c>
      <c r="J87" s="1"/>
      <c r="L87" s="1" t="s">
        <v>389</v>
      </c>
      <c r="M87" t="str">
        <f>IF(Fields[[#This Row],[Reference Entity]]&lt;&gt;"","t" &amp;Fields[[#This Row],[Reference Entity]],"")</f>
        <v/>
      </c>
      <c r="N87" t="str">
        <f>IF(Fields[[#This Row],[Reference Entity]]&lt;&gt;"",RIGHT(Fields[[#This Row],[Column Name]],LEN(Fields[[#This Row],[Column Name]])-2),"")</f>
        <v/>
      </c>
      <c r="P87" s="1"/>
      <c r="Q87" s="1"/>
      <c r="T87" s="1"/>
      <c r="U87" s="1"/>
    </row>
    <row r="88" spans="1:22" ht="30" x14ac:dyDescent="0.25">
      <c r="A88">
        <v>7</v>
      </c>
      <c r="B88" t="s">
        <v>159</v>
      </c>
      <c r="C88" t="s">
        <v>323</v>
      </c>
      <c r="D88" s="1" t="s">
        <v>189</v>
      </c>
      <c r="E88" t="s">
        <v>124</v>
      </c>
      <c r="F88" t="s">
        <v>236</v>
      </c>
      <c r="G88" s="2"/>
      <c r="J88" s="1"/>
      <c r="K88" s="5" t="s">
        <v>188</v>
      </c>
      <c r="L88" s="1" t="s">
        <v>389</v>
      </c>
      <c r="M88" t="str">
        <f>IF(Fields[[#This Row],[Reference Entity]]&lt;&gt;"","t" &amp;Fields[[#This Row],[Reference Entity]],"")</f>
        <v/>
      </c>
      <c r="N88" t="str">
        <f>IF(Fields[[#This Row],[Reference Entity]]&lt;&gt;"",RIGHT(Fields[[#This Row],[Column Name]],LEN(Fields[[#This Row],[Column Name]])-2),"")</f>
        <v/>
      </c>
      <c r="P88" s="1"/>
      <c r="Q88" s="1"/>
      <c r="T88" s="1"/>
      <c r="U88" s="1"/>
    </row>
    <row r="89" spans="1:22" x14ac:dyDescent="0.25">
      <c r="A89">
        <v>1</v>
      </c>
      <c r="B89" t="s">
        <v>777</v>
      </c>
      <c r="C89" t="s">
        <v>5</v>
      </c>
      <c r="D89" s="1"/>
      <c r="E89" t="s">
        <v>498</v>
      </c>
      <c r="F89" t="s">
        <v>497</v>
      </c>
      <c r="G89" s="2"/>
      <c r="L89" s="1" t="s">
        <v>148</v>
      </c>
      <c r="M89" t="str">
        <f>IF(Fields[[#This Row],[Reference Entity]]&lt;&gt;"","t" &amp;Fields[[#This Row],[Reference Entity]],"")</f>
        <v>tClient</v>
      </c>
      <c r="N89" t="s">
        <v>148</v>
      </c>
      <c r="O89" t="s">
        <v>143</v>
      </c>
      <c r="P89" s="1"/>
      <c r="T89" s="1"/>
      <c r="U89" s="1"/>
    </row>
    <row r="90" spans="1:22" x14ac:dyDescent="0.25">
      <c r="A90">
        <v>2</v>
      </c>
      <c r="B90" t="s">
        <v>777</v>
      </c>
      <c r="C90" t="s">
        <v>553</v>
      </c>
      <c r="D90" s="1"/>
      <c r="E90" t="s">
        <v>498</v>
      </c>
      <c r="F90" t="s">
        <v>497</v>
      </c>
      <c r="G90" s="2"/>
      <c r="H90" t="s">
        <v>20</v>
      </c>
      <c r="L90" s="1" t="s">
        <v>537</v>
      </c>
      <c r="M90" t="str">
        <f>IF(Fields[[#This Row],[Reference Entity]]&lt;&gt;"","t" &amp;Fields[[#This Row],[Reference Entity]],"")</f>
        <v>tUser</v>
      </c>
      <c r="N90" t="s">
        <v>537</v>
      </c>
      <c r="P90" s="1"/>
      <c r="T90" s="1"/>
      <c r="U90" s="1"/>
    </row>
    <row r="91" spans="1:22" x14ac:dyDescent="0.25">
      <c r="A91">
        <v>3</v>
      </c>
      <c r="B91" t="s">
        <v>777</v>
      </c>
      <c r="C91" t="s">
        <v>778</v>
      </c>
      <c r="D91" s="1"/>
      <c r="E91" t="s">
        <v>124</v>
      </c>
      <c r="F91" t="s">
        <v>236</v>
      </c>
      <c r="G91" s="2"/>
      <c r="K91" s="1" t="s">
        <v>778</v>
      </c>
      <c r="L91" s="1"/>
      <c r="M91" t="str">
        <f>IF(Fields[[#This Row],[Reference Entity]]&lt;&gt;"","t" &amp;Fields[[#This Row],[Reference Entity]],"")</f>
        <v/>
      </c>
      <c r="P91" s="1"/>
      <c r="T91" s="1"/>
      <c r="U91" s="1"/>
    </row>
    <row r="92" spans="1:22" x14ac:dyDescent="0.25">
      <c r="A92">
        <v>4</v>
      </c>
      <c r="B92" t="s">
        <v>777</v>
      </c>
      <c r="C92" t="s">
        <v>779</v>
      </c>
      <c r="D92" s="1"/>
      <c r="E92" t="s">
        <v>17</v>
      </c>
      <c r="F92" t="s">
        <v>395</v>
      </c>
      <c r="G92" s="2"/>
      <c r="L92" s="1"/>
      <c r="M92" t="str">
        <f>IF(Fields[[#This Row],[Reference Entity]]&lt;&gt;"","t" &amp;Fields[[#This Row],[Reference Entity]],"")</f>
        <v/>
      </c>
      <c r="P92" s="1"/>
      <c r="T92" s="1"/>
      <c r="U92" s="1"/>
    </row>
    <row r="93" spans="1:22" x14ac:dyDescent="0.25">
      <c r="A93">
        <v>5</v>
      </c>
      <c r="B93" t="s">
        <v>777</v>
      </c>
      <c r="C93" t="s">
        <v>780</v>
      </c>
      <c r="D93" s="1"/>
      <c r="E93" t="s">
        <v>17</v>
      </c>
      <c r="F93" t="s">
        <v>395</v>
      </c>
      <c r="G93" s="2"/>
      <c r="H93" t="s">
        <v>20</v>
      </c>
      <c r="L93" s="1"/>
      <c r="M93" t="str">
        <f>IF(Fields[[#This Row],[Reference Entity]]&lt;&gt;"","t" &amp;Fields[[#This Row],[Reference Entity]],"")</f>
        <v/>
      </c>
      <c r="P93" s="1"/>
      <c r="T93" s="1"/>
      <c r="U93" s="1"/>
    </row>
    <row r="94" spans="1:22" x14ac:dyDescent="0.25">
      <c r="A94">
        <v>6</v>
      </c>
      <c r="B94" t="s">
        <v>777</v>
      </c>
      <c r="C94" t="s">
        <v>781</v>
      </c>
      <c r="D94" s="1"/>
      <c r="E94" t="s">
        <v>124</v>
      </c>
      <c r="F94" t="s">
        <v>236</v>
      </c>
      <c r="G94" s="2"/>
      <c r="K94" t="s">
        <v>781</v>
      </c>
      <c r="L94" s="1"/>
      <c r="M94" t="str">
        <f>IF(Fields[[#This Row],[Reference Entity]]&lt;&gt;"","t" &amp;Fields[[#This Row],[Reference Entity]],"")</f>
        <v/>
      </c>
      <c r="P94" s="1"/>
      <c r="T94" s="1"/>
      <c r="U94" s="1"/>
    </row>
    <row r="95" spans="1:22" x14ac:dyDescent="0.25">
      <c r="A95">
        <v>1</v>
      </c>
      <c r="B95" t="s">
        <v>788</v>
      </c>
      <c r="C95" t="s">
        <v>789</v>
      </c>
      <c r="D95" s="1"/>
      <c r="E95" t="s">
        <v>498</v>
      </c>
      <c r="F95" t="s">
        <v>497</v>
      </c>
      <c r="G95" s="2"/>
      <c r="L95" s="1" t="s">
        <v>775</v>
      </c>
      <c r="M95" t="str">
        <f>IF(Fields[[#This Row],[Reference Entity]]&lt;&gt;"","t" &amp;Fields[[#This Row],[Reference Entity]],"")</f>
        <v>tJobReport</v>
      </c>
      <c r="N95" t="s">
        <v>775</v>
      </c>
      <c r="O95" t="s">
        <v>143</v>
      </c>
      <c r="P95" s="1"/>
      <c r="T95" s="1"/>
      <c r="U95" s="1"/>
    </row>
    <row r="96" spans="1:22" x14ac:dyDescent="0.25">
      <c r="A96">
        <v>2</v>
      </c>
      <c r="B96" t="s">
        <v>788</v>
      </c>
      <c r="C96" t="s">
        <v>791</v>
      </c>
      <c r="D96" s="1"/>
      <c r="E96" t="s">
        <v>17</v>
      </c>
      <c r="F96" t="s">
        <v>395</v>
      </c>
      <c r="G96" s="2"/>
      <c r="L96" s="1"/>
      <c r="M96" t="str">
        <f>IF(Fields[[#This Row],[Reference Entity]]&lt;&gt;"","t" &amp;Fields[[#This Row],[Reference Entity]],"")</f>
        <v/>
      </c>
      <c r="P96" s="1"/>
      <c r="T96" s="1"/>
      <c r="U96" s="1"/>
    </row>
    <row r="97" spans="1:22" x14ac:dyDescent="0.25">
      <c r="A97">
        <v>3</v>
      </c>
      <c r="B97" t="s">
        <v>788</v>
      </c>
      <c r="C97" t="s">
        <v>781</v>
      </c>
      <c r="D97" s="1"/>
      <c r="E97" t="s">
        <v>124</v>
      </c>
      <c r="F97" t="s">
        <v>236</v>
      </c>
      <c r="G97" s="2"/>
      <c r="K97" t="s">
        <v>781</v>
      </c>
      <c r="L97" s="1"/>
      <c r="M97" t="str">
        <f>IF(Fields[[#This Row],[Reference Entity]]&lt;&gt;"","t" &amp;Fields[[#This Row],[Reference Entity]],"")</f>
        <v/>
      </c>
      <c r="P97" s="1"/>
      <c r="T97" s="1"/>
      <c r="U97" s="1"/>
    </row>
    <row r="98" spans="1:22" x14ac:dyDescent="0.25">
      <c r="A98">
        <v>4</v>
      </c>
      <c r="B98" t="s">
        <v>788</v>
      </c>
      <c r="C98" t="s">
        <v>792</v>
      </c>
      <c r="D98" s="1"/>
      <c r="E98" t="s">
        <v>30</v>
      </c>
      <c r="F98" t="s">
        <v>4</v>
      </c>
      <c r="G98" s="2"/>
      <c r="L98" s="1"/>
      <c r="M98" t="str">
        <f>IF(Fields[[#This Row],[Reference Entity]]&lt;&gt;"","t" &amp;Fields[[#This Row],[Reference Entity]],"")</f>
        <v/>
      </c>
      <c r="P98" s="1"/>
      <c r="T98" s="1"/>
      <c r="U98" s="1"/>
    </row>
    <row r="99" spans="1:22" x14ac:dyDescent="0.25">
      <c r="A99">
        <v>5</v>
      </c>
      <c r="B99" t="s">
        <v>788</v>
      </c>
      <c r="C99" t="s">
        <v>790</v>
      </c>
      <c r="D99" s="1"/>
      <c r="E99" t="s">
        <v>19</v>
      </c>
      <c r="F99" t="s">
        <v>242</v>
      </c>
      <c r="G99" s="2">
        <v>255</v>
      </c>
      <c r="H99" t="s">
        <v>20</v>
      </c>
      <c r="L99" s="1"/>
      <c r="M99" t="str">
        <f>IF(Fields[[#This Row],[Reference Entity]]&lt;&gt;"","t" &amp;Fields[[#This Row],[Reference Entity]],"")</f>
        <v/>
      </c>
      <c r="P99" s="1"/>
      <c r="T99" s="1"/>
      <c r="U99" s="1"/>
    </row>
    <row r="100" spans="1:22" x14ac:dyDescent="0.25">
      <c r="A100">
        <v>6</v>
      </c>
      <c r="B100" t="s">
        <v>788</v>
      </c>
      <c r="C100" t="s">
        <v>793</v>
      </c>
      <c r="D100" s="1"/>
      <c r="E100" t="s">
        <v>19</v>
      </c>
      <c r="F100" t="s">
        <v>242</v>
      </c>
      <c r="G100" s="2">
        <v>255</v>
      </c>
      <c r="H100" t="s">
        <v>20</v>
      </c>
      <c r="L100" s="1"/>
      <c r="M100" t="str">
        <f>IF(Fields[[#This Row],[Reference Entity]]&lt;&gt;"","t" &amp;Fields[[#This Row],[Reference Entity]],"")</f>
        <v/>
      </c>
      <c r="P100" s="1"/>
      <c r="T100" s="1"/>
      <c r="U100" s="1"/>
    </row>
    <row r="101" spans="1:22" x14ac:dyDescent="0.25">
      <c r="A101">
        <v>7</v>
      </c>
      <c r="B101" t="s">
        <v>788</v>
      </c>
      <c r="C101" t="s">
        <v>794</v>
      </c>
      <c r="D101" s="1"/>
      <c r="E101" t="s">
        <v>19</v>
      </c>
      <c r="F101" t="s">
        <v>242</v>
      </c>
      <c r="G101" s="2">
        <v>255</v>
      </c>
      <c r="H101" t="s">
        <v>20</v>
      </c>
      <c r="L101" s="1"/>
      <c r="M101" t="str">
        <f>IF(Fields[[#This Row],[Reference Entity]]&lt;&gt;"","t" &amp;Fields[[#This Row],[Reference Entity]],"")</f>
        <v/>
      </c>
      <c r="P101" s="1"/>
      <c r="T101" s="1"/>
      <c r="U101" s="1"/>
    </row>
    <row r="102" spans="1:22" x14ac:dyDescent="0.25">
      <c r="A102">
        <v>1</v>
      </c>
      <c r="B102" t="s">
        <v>35</v>
      </c>
      <c r="C102" t="s">
        <v>5</v>
      </c>
      <c r="D102" s="1" t="s">
        <v>10</v>
      </c>
      <c r="E102" t="s">
        <v>498</v>
      </c>
      <c r="F102" t="s">
        <v>497</v>
      </c>
      <c r="G102" s="2"/>
      <c r="L102" s="1" t="s">
        <v>148</v>
      </c>
      <c r="M102" t="str">
        <f>IF(Fields[[#This Row],[Reference Entity]]&lt;&gt;"","t" &amp;Fields[[#This Row],[Reference Entity]],"")</f>
        <v>tClient</v>
      </c>
      <c r="N102" t="str">
        <f>IF(Fields[[#This Row],[Reference Entity]]&lt;&gt;"",RIGHT(Fields[[#This Row],[Column Name]],LEN(Fields[[#This Row],[Column Name]])-2),"")</f>
        <v>Client</v>
      </c>
      <c r="O102" t="s">
        <v>143</v>
      </c>
      <c r="P102" s="1"/>
      <c r="Q102" t="str">
        <f>Fields[[#This Row],[Column Name]]</f>
        <v>idClient</v>
      </c>
      <c r="R102"/>
      <c r="S102"/>
    </row>
    <row r="103" spans="1:22" ht="45" x14ac:dyDescent="0.25">
      <c r="A103">
        <v>2</v>
      </c>
      <c r="B103" t="s">
        <v>35</v>
      </c>
      <c r="C103" t="s">
        <v>106</v>
      </c>
      <c r="D103" s="1" t="s">
        <v>107</v>
      </c>
      <c r="E103" t="s">
        <v>498</v>
      </c>
      <c r="F103" t="s">
        <v>497</v>
      </c>
      <c r="G103" s="2"/>
      <c r="H103" t="s">
        <v>20</v>
      </c>
      <c r="L103" s="1" t="s">
        <v>346</v>
      </c>
      <c r="M103" t="str">
        <f>IF(Fields[[#This Row],[Reference Entity]]&lt;&gt;"","t" &amp;Fields[[#This Row],[Reference Entity]],"")</f>
        <v>tPlan</v>
      </c>
      <c r="N103" t="str">
        <f>IF(Fields[[#This Row],[Reference Entity]]&lt;&gt;"",RIGHT(Fields[[#This Row],[Column Name]],LEN(Fields[[#This Row],[Column Name]])-2),"")</f>
        <v>PlanBase</v>
      </c>
      <c r="P103" s="1"/>
      <c r="Q103" t="str">
        <f>Fields[[#This Row],[Column Name]]</f>
        <v>idPlanBase</v>
      </c>
      <c r="R103"/>
      <c r="S103"/>
      <c r="T103" t="s">
        <v>20</v>
      </c>
      <c r="U103" t="s">
        <v>364</v>
      </c>
    </row>
    <row r="104" spans="1:22" x14ac:dyDescent="0.25">
      <c r="A104">
        <v>3</v>
      </c>
      <c r="B104" t="s">
        <v>35</v>
      </c>
      <c r="C104" t="s">
        <v>311</v>
      </c>
      <c r="D104" s="1" t="s">
        <v>38</v>
      </c>
      <c r="E104" t="s">
        <v>19</v>
      </c>
      <c r="F104" t="s">
        <v>242</v>
      </c>
      <c r="G104" s="2">
        <v>30</v>
      </c>
      <c r="L104" s="1" t="s">
        <v>389</v>
      </c>
      <c r="M104" t="str">
        <f>IF(Fields[[#This Row],[Reference Entity]]&lt;&gt;"","t" &amp;Fields[[#This Row],[Reference Entity]],"")</f>
        <v/>
      </c>
      <c r="N104" t="str">
        <f>IF(Fields[[#This Row],[Reference Entity]]&lt;&gt;"",RIGHT(Fields[[#This Row],[Column Name]],LEN(Fields[[#This Row],[Column Name]])-2),"")</f>
        <v/>
      </c>
      <c r="P104" s="1"/>
      <c r="R104"/>
      <c r="S104"/>
    </row>
    <row r="105" spans="1:22" ht="30" x14ac:dyDescent="0.25">
      <c r="A105">
        <v>4</v>
      </c>
      <c r="B105" t="s">
        <v>35</v>
      </c>
      <c r="C105" t="s">
        <v>284</v>
      </c>
      <c r="D105" s="1" t="s">
        <v>39</v>
      </c>
      <c r="E105" t="s">
        <v>17</v>
      </c>
      <c r="F105" t="s">
        <v>395</v>
      </c>
      <c r="G105" s="2"/>
      <c r="L105" s="1" t="s">
        <v>389</v>
      </c>
      <c r="M105" t="str">
        <f>IF(Fields[[#This Row],[Reference Entity]]&lt;&gt;"","t" &amp;Fields[[#This Row],[Reference Entity]],"")</f>
        <v/>
      </c>
      <c r="N105" t="str">
        <f>IF(Fields[[#This Row],[Reference Entity]]&lt;&gt;"",RIGHT(Fields[[#This Row],[Column Name]],LEN(Fields[[#This Row],[Column Name]])-2),"")</f>
        <v/>
      </c>
      <c r="P105" s="1"/>
      <c r="R105"/>
      <c r="S105"/>
    </row>
    <row r="106" spans="1:22" x14ac:dyDescent="0.25">
      <c r="A106">
        <v>5</v>
      </c>
      <c r="B106" t="s">
        <v>35</v>
      </c>
      <c r="C106" t="s">
        <v>285</v>
      </c>
      <c r="D106" s="1" t="s">
        <v>286</v>
      </c>
      <c r="E106" t="s">
        <v>17</v>
      </c>
      <c r="F106" t="s">
        <v>395</v>
      </c>
      <c r="G106" s="2"/>
      <c r="L106" s="1" t="s">
        <v>389</v>
      </c>
      <c r="M106" t="str">
        <f>IF(Fields[[#This Row],[Reference Entity]]&lt;&gt;"","t" &amp;Fields[[#This Row],[Reference Entity]],"")</f>
        <v/>
      </c>
      <c r="N106" t="str">
        <f>IF(Fields[[#This Row],[Reference Entity]]&lt;&gt;"",RIGHT(Fields[[#This Row],[Column Name]],LEN(Fields[[#This Row],[Column Name]])-2),"")</f>
        <v/>
      </c>
      <c r="P106" s="1"/>
      <c r="R106"/>
      <c r="S106"/>
    </row>
    <row r="107" spans="1:22" ht="30" x14ac:dyDescent="0.25">
      <c r="A107">
        <v>6</v>
      </c>
      <c r="B107" t="s">
        <v>35</v>
      </c>
      <c r="C107" t="s">
        <v>297</v>
      </c>
      <c r="D107" s="1" t="s">
        <v>47</v>
      </c>
      <c r="E107" t="s">
        <v>18</v>
      </c>
      <c r="F107" t="s">
        <v>6</v>
      </c>
      <c r="G107" s="2"/>
      <c r="I107">
        <v>0</v>
      </c>
      <c r="L107" s="1" t="s">
        <v>389</v>
      </c>
      <c r="M107" t="str">
        <f>IF(Fields[[#This Row],[Reference Entity]]&lt;&gt;"","t" &amp;Fields[[#This Row],[Reference Entity]],"")</f>
        <v/>
      </c>
      <c r="N107" t="str">
        <f>IF(Fields[[#This Row],[Reference Entity]]&lt;&gt;"",RIGHT(Fields[[#This Row],[Column Name]],LEN(Fields[[#This Row],[Column Name]])-2),"")</f>
        <v/>
      </c>
      <c r="P107" s="1" t="s">
        <v>49</v>
      </c>
      <c r="R107"/>
      <c r="S107"/>
    </row>
    <row r="108" spans="1:22" ht="75" x14ac:dyDescent="0.25">
      <c r="A108">
        <v>7</v>
      </c>
      <c r="B108" t="s">
        <v>35</v>
      </c>
      <c r="C108" t="s">
        <v>133</v>
      </c>
      <c r="D108" s="1" t="s">
        <v>134</v>
      </c>
      <c r="E108" t="s">
        <v>124</v>
      </c>
      <c r="F108" t="s">
        <v>236</v>
      </c>
      <c r="G108" s="2"/>
      <c r="I108">
        <v>0</v>
      </c>
      <c r="K108" s="1" t="s">
        <v>135</v>
      </c>
      <c r="L108" s="1" t="s">
        <v>389</v>
      </c>
      <c r="M108" t="str">
        <f>IF(Fields[[#This Row],[Reference Entity]]&lt;&gt;"","t" &amp;Fields[[#This Row],[Reference Entity]],"")</f>
        <v/>
      </c>
      <c r="N108" t="str">
        <f>IF(Fields[[#This Row],[Reference Entity]]&lt;&gt;"",RIGHT(Fields[[#This Row],[Column Name]],LEN(Fields[[#This Row],[Column Name]])-2),"")</f>
        <v/>
      </c>
      <c r="P108" s="1"/>
      <c r="R108"/>
      <c r="S108"/>
    </row>
    <row r="109" spans="1:22" x14ac:dyDescent="0.25">
      <c r="A109">
        <v>1</v>
      </c>
      <c r="B109" t="s">
        <v>183</v>
      </c>
      <c r="C109" t="s">
        <v>5</v>
      </c>
      <c r="D109" s="1" t="s">
        <v>175</v>
      </c>
      <c r="E109" t="s">
        <v>498</v>
      </c>
      <c r="F109" t="s">
        <v>497</v>
      </c>
      <c r="G109" s="2"/>
      <c r="L109" s="1" t="s">
        <v>148</v>
      </c>
      <c r="M109" t="str">
        <f>IF(Fields[[#This Row],[Reference Entity]]&lt;&gt;"","t" &amp;Fields[[#This Row],[Reference Entity]],"")</f>
        <v>tClient</v>
      </c>
      <c r="N109" t="str">
        <f>IF(Fields[[#This Row],[Reference Entity]]&lt;&gt;"",RIGHT(Fields[[#This Row],[Column Name]],LEN(Fields[[#This Row],[Column Name]])-2),"")</f>
        <v>Client</v>
      </c>
      <c r="O109" t="s">
        <v>143</v>
      </c>
      <c r="P109" s="1"/>
      <c r="Q109" t="str">
        <f>Fields[[#This Row],[Column Name]]</f>
        <v>idClient</v>
      </c>
      <c r="R109"/>
      <c r="S109"/>
      <c r="V109" s="1"/>
    </row>
    <row r="110" spans="1:22" ht="30" x14ac:dyDescent="0.25">
      <c r="A110">
        <v>2</v>
      </c>
      <c r="B110" t="s">
        <v>183</v>
      </c>
      <c r="C110" t="s">
        <v>488</v>
      </c>
      <c r="D110" s="1" t="s">
        <v>487</v>
      </c>
      <c r="E110" t="s">
        <v>16</v>
      </c>
      <c r="F110" t="s">
        <v>4</v>
      </c>
      <c r="G110" s="2"/>
      <c r="J110" s="1"/>
      <c r="K110" s="1" t="s">
        <v>488</v>
      </c>
      <c r="L110" s="1"/>
      <c r="P110" s="1"/>
      <c r="Q110" t="str">
        <f>Fields[[#This Row],[Column Name]]</f>
        <v>TypeAccountFunction</v>
      </c>
      <c r="S110"/>
      <c r="V110" t="s">
        <v>456</v>
      </c>
    </row>
    <row r="111" spans="1:22" x14ac:dyDescent="0.25">
      <c r="A111">
        <v>3</v>
      </c>
      <c r="B111" t="s">
        <v>183</v>
      </c>
      <c r="C111" t="s">
        <v>299</v>
      </c>
      <c r="D111" s="1" t="s">
        <v>184</v>
      </c>
      <c r="E111" t="s">
        <v>498</v>
      </c>
      <c r="F111" t="s">
        <v>497</v>
      </c>
      <c r="G111" s="2"/>
      <c r="J111" s="1"/>
      <c r="L111" s="1" t="s">
        <v>339</v>
      </c>
      <c r="M111" t="str">
        <f>IF(Fields[[#This Row],[Reference Entity]]&lt;&gt;"","t" &amp;Fields[[#This Row],[Reference Entity]],"")</f>
        <v>tAccount</v>
      </c>
      <c r="N111" t="str">
        <f>IF(Fields[[#This Row],[Reference Entity]]&lt;&gt;"",RIGHT(Fields[[#This Row],[Column Name]],LEN(Fields[[#This Row],[Column Name]])-2),"")</f>
        <v>AccountPlanAccountFunction</v>
      </c>
      <c r="P111" s="1"/>
      <c r="Q111" t="str">
        <f>Fields[[#This Row],[Column Name]]</f>
        <v>idAccountPlanAccountFunction</v>
      </c>
      <c r="S111"/>
    </row>
    <row r="112" spans="1:22" ht="45" x14ac:dyDescent="0.25">
      <c r="A112">
        <v>1</v>
      </c>
      <c r="B112" t="s">
        <v>63</v>
      </c>
      <c r="C112" t="s">
        <v>53</v>
      </c>
      <c r="D112" s="1" t="s">
        <v>71</v>
      </c>
      <c r="E112" t="s">
        <v>498</v>
      </c>
      <c r="F112" t="s">
        <v>497</v>
      </c>
      <c r="G112" s="2"/>
      <c r="L112" s="1" t="s">
        <v>346</v>
      </c>
      <c r="M112" t="str">
        <f>IF(Fields[[#This Row],[Reference Entity]]&lt;&gt;"","t" &amp;Fields[[#This Row],[Reference Entity]],"")</f>
        <v>tPlan</v>
      </c>
      <c r="N112" t="str">
        <f>IF(Fields[[#This Row],[Reference Entity]]&lt;&gt;"",RIGHT(Fields[[#This Row],[Column Name]],LEN(Fields[[#This Row],[Column Name]])-2),"")</f>
        <v>Plan</v>
      </c>
      <c r="O112" t="s">
        <v>143</v>
      </c>
      <c r="P112" s="1"/>
      <c r="Q112" t="str">
        <f>Fields[[#This Row],[Column Name]]</f>
        <v>idPlan</v>
      </c>
      <c r="R112"/>
      <c r="S112"/>
    </row>
    <row r="113" spans="1:22" x14ac:dyDescent="0.25">
      <c r="A113">
        <v>2</v>
      </c>
      <c r="B113" t="s">
        <v>63</v>
      </c>
      <c r="C113" t="s">
        <v>312</v>
      </c>
      <c r="D113" s="1" t="s">
        <v>99</v>
      </c>
      <c r="E113" t="s">
        <v>19</v>
      </c>
      <c r="F113" t="s">
        <v>242</v>
      </c>
      <c r="G113" s="2">
        <v>30</v>
      </c>
      <c r="L113" s="1" t="s">
        <v>389</v>
      </c>
      <c r="M113" t="str">
        <f>IF(Fields[[#This Row],[Reference Entity]]&lt;&gt;"","t" &amp;Fields[[#This Row],[Reference Entity]],"")</f>
        <v/>
      </c>
      <c r="N113" t="str">
        <f>IF(Fields[[#This Row],[Reference Entity]]&lt;&gt;"",RIGHT(Fields[[#This Row],[Column Name]],LEN(Fields[[#This Row],[Column Name]])-2),"")</f>
        <v/>
      </c>
      <c r="P113" s="1"/>
      <c r="R113"/>
      <c r="S113"/>
    </row>
    <row r="114" spans="1:22" ht="30" x14ac:dyDescent="0.25">
      <c r="A114">
        <v>3</v>
      </c>
      <c r="B114" t="s">
        <v>63</v>
      </c>
      <c r="C114" t="s">
        <v>95</v>
      </c>
      <c r="D114" s="1" t="s">
        <v>610</v>
      </c>
      <c r="E114" t="s">
        <v>30</v>
      </c>
      <c r="F114" t="s">
        <v>4</v>
      </c>
      <c r="G114" s="2"/>
      <c r="I114">
        <v>1</v>
      </c>
      <c r="K114" s="1" t="s">
        <v>611</v>
      </c>
      <c r="L114" s="1" t="s">
        <v>389</v>
      </c>
      <c r="M114" t="str">
        <f>IF(Fields[[#This Row],[Reference Entity]]&lt;&gt;"","t" &amp;Fields[[#This Row],[Reference Entity]],"")</f>
        <v/>
      </c>
      <c r="N114" t="str">
        <f>IF(Fields[[#This Row],[Reference Entity]]&lt;&gt;"",RIGHT(Fields[[#This Row],[Column Name]],LEN(Fields[[#This Row],[Column Name]])-2),"")</f>
        <v/>
      </c>
      <c r="P114" s="1"/>
      <c r="R114"/>
      <c r="S114"/>
    </row>
    <row r="115" spans="1:22" x14ac:dyDescent="0.25">
      <c r="A115">
        <v>4</v>
      </c>
      <c r="B115" t="s">
        <v>63</v>
      </c>
      <c r="C115" t="s">
        <v>102</v>
      </c>
      <c r="D115" s="1" t="s">
        <v>104</v>
      </c>
      <c r="E115" t="s">
        <v>60</v>
      </c>
      <c r="F115" t="s">
        <v>237</v>
      </c>
      <c r="G115" s="2"/>
      <c r="L115" s="1" t="s">
        <v>389</v>
      </c>
      <c r="M115" t="str">
        <f>IF(Fields[[#This Row],[Reference Entity]]&lt;&gt;"","t" &amp;Fields[[#This Row],[Reference Entity]],"")</f>
        <v/>
      </c>
      <c r="N115" t="str">
        <f>IF(Fields[[#This Row],[Reference Entity]]&lt;&gt;"",RIGHT(Fields[[#This Row],[Column Name]],LEN(Fields[[#This Row],[Column Name]])-2),"")</f>
        <v/>
      </c>
      <c r="P115" s="1"/>
      <c r="R115"/>
      <c r="S115"/>
    </row>
    <row r="116" spans="1:22" x14ac:dyDescent="0.25">
      <c r="A116">
        <v>5</v>
      </c>
      <c r="B116" t="s">
        <v>63</v>
      </c>
      <c r="C116" t="s">
        <v>431</v>
      </c>
      <c r="D116" s="1" t="s">
        <v>432</v>
      </c>
      <c r="E116" t="s">
        <v>18</v>
      </c>
      <c r="F116" t="s">
        <v>6</v>
      </c>
      <c r="G116" s="2"/>
      <c r="L116" s="1"/>
      <c r="M116" t="str">
        <f>IF(Fields[[#This Row],[Reference Entity]]&lt;&gt;"","t" &amp;Fields[[#This Row],[Reference Entity]],"")</f>
        <v/>
      </c>
      <c r="P116" s="1"/>
      <c r="R116"/>
      <c r="S116"/>
    </row>
    <row r="117" spans="1:22" ht="60" x14ac:dyDescent="0.25">
      <c r="A117">
        <v>6</v>
      </c>
      <c r="B117" t="s">
        <v>63</v>
      </c>
      <c r="C117" t="s">
        <v>569</v>
      </c>
      <c r="D117" s="1" t="s">
        <v>568</v>
      </c>
      <c r="E117" t="s">
        <v>30</v>
      </c>
      <c r="F117" t="s">
        <v>4</v>
      </c>
      <c r="G117" s="2"/>
      <c r="I117">
        <v>0</v>
      </c>
      <c r="L117" s="1"/>
      <c r="M117" t="str">
        <f>IF(Fields[[#This Row],[Reference Entity]]&lt;&gt;"","t" &amp;Fields[[#This Row],[Reference Entity]],"")</f>
        <v/>
      </c>
      <c r="P117" s="1"/>
      <c r="R117"/>
      <c r="S117"/>
      <c r="V117" t="s">
        <v>476</v>
      </c>
    </row>
    <row r="118" spans="1:22" x14ac:dyDescent="0.25">
      <c r="A118">
        <v>7</v>
      </c>
      <c r="B118" t="s">
        <v>63</v>
      </c>
      <c r="C118" t="s">
        <v>602</v>
      </c>
      <c r="D118" s="1" t="s">
        <v>603</v>
      </c>
      <c r="E118" t="s">
        <v>18</v>
      </c>
      <c r="F118" t="s">
        <v>6</v>
      </c>
      <c r="G118" s="2"/>
      <c r="I118">
        <v>0</v>
      </c>
      <c r="L118" s="1"/>
      <c r="M118" t="str">
        <f>IF(Fields[[#This Row],[Reference Entity]]&lt;&gt;"","t" &amp;Fields[[#This Row],[Reference Entity]],"")</f>
        <v/>
      </c>
      <c r="P118" s="1"/>
      <c r="R118"/>
      <c r="S118"/>
    </row>
    <row r="119" spans="1:22" x14ac:dyDescent="0.25">
      <c r="A119">
        <v>8</v>
      </c>
      <c r="B119" t="s">
        <v>63</v>
      </c>
      <c r="C119" t="s">
        <v>604</v>
      </c>
      <c r="D119" s="1" t="s">
        <v>612</v>
      </c>
      <c r="E119" t="s">
        <v>124</v>
      </c>
      <c r="F119" t="s">
        <v>236</v>
      </c>
      <c r="G119" s="2"/>
      <c r="H119" t="s">
        <v>20</v>
      </c>
      <c r="L119" s="1"/>
      <c r="M119" t="str">
        <f>IF(Fields[[#This Row],[Reference Entity]]&lt;&gt;"","t" &amp;Fields[[#This Row],[Reference Entity]],"")</f>
        <v/>
      </c>
      <c r="P119" s="1"/>
      <c r="R119"/>
      <c r="S119"/>
    </row>
    <row r="120" spans="1:22" x14ac:dyDescent="0.25">
      <c r="A120">
        <v>9</v>
      </c>
      <c r="B120" t="s">
        <v>63</v>
      </c>
      <c r="C120" t="s">
        <v>605</v>
      </c>
      <c r="D120" s="1" t="s">
        <v>613</v>
      </c>
      <c r="E120" t="s">
        <v>60</v>
      </c>
      <c r="F120" t="s">
        <v>237</v>
      </c>
      <c r="G120" s="2"/>
      <c r="H120" t="s">
        <v>20</v>
      </c>
      <c r="L120" s="1"/>
      <c r="M120" t="str">
        <f>IF(Fields[[#This Row],[Reference Entity]]&lt;&gt;"","t" &amp;Fields[[#This Row],[Reference Entity]],"")</f>
        <v/>
      </c>
      <c r="P120" s="1"/>
      <c r="R120"/>
      <c r="S120"/>
    </row>
    <row r="121" spans="1:22" x14ac:dyDescent="0.25">
      <c r="A121">
        <v>10</v>
      </c>
      <c r="B121" t="s">
        <v>63</v>
      </c>
      <c r="C121" t="s">
        <v>606</v>
      </c>
      <c r="D121" s="1" t="s">
        <v>614</v>
      </c>
      <c r="E121" t="s">
        <v>124</v>
      </c>
      <c r="F121" t="s">
        <v>236</v>
      </c>
      <c r="G121" s="2"/>
      <c r="H121" t="s">
        <v>20</v>
      </c>
      <c r="L121" s="1"/>
      <c r="M121" t="str">
        <f>IF(Fields[[#This Row],[Reference Entity]]&lt;&gt;"","t" &amp;Fields[[#This Row],[Reference Entity]],"")</f>
        <v/>
      </c>
      <c r="P121" s="1"/>
      <c r="R121"/>
      <c r="S121"/>
    </row>
    <row r="122" spans="1:22" x14ac:dyDescent="0.25">
      <c r="A122">
        <v>11</v>
      </c>
      <c r="B122" t="s">
        <v>63</v>
      </c>
      <c r="C122" t="s">
        <v>607</v>
      </c>
      <c r="D122" s="1" t="s">
        <v>615</v>
      </c>
      <c r="E122" t="s">
        <v>60</v>
      </c>
      <c r="F122" t="s">
        <v>237</v>
      </c>
      <c r="G122" s="2"/>
      <c r="H122" t="s">
        <v>20</v>
      </c>
      <c r="L122" s="1"/>
      <c r="M122" t="str">
        <f>IF(Fields[[#This Row],[Reference Entity]]&lt;&gt;"","t" &amp;Fields[[#This Row],[Reference Entity]],"")</f>
        <v/>
      </c>
      <c r="P122" s="1"/>
      <c r="R122"/>
      <c r="S122"/>
    </row>
    <row r="123" spans="1:22" x14ac:dyDescent="0.25">
      <c r="A123">
        <v>12</v>
      </c>
      <c r="B123" t="s">
        <v>63</v>
      </c>
      <c r="C123" t="s">
        <v>608</v>
      </c>
      <c r="D123" s="1" t="s">
        <v>616</v>
      </c>
      <c r="E123" t="s">
        <v>124</v>
      </c>
      <c r="F123" t="s">
        <v>236</v>
      </c>
      <c r="G123" s="2"/>
      <c r="H123" t="s">
        <v>20</v>
      </c>
      <c r="L123" s="1"/>
      <c r="M123" t="str">
        <f>IF(Fields[[#This Row],[Reference Entity]]&lt;&gt;"","t" &amp;Fields[[#This Row],[Reference Entity]],"")</f>
        <v/>
      </c>
      <c r="P123" s="1"/>
      <c r="R123"/>
      <c r="S123"/>
    </row>
    <row r="124" spans="1:22" x14ac:dyDescent="0.25">
      <c r="A124">
        <v>13</v>
      </c>
      <c r="B124" t="s">
        <v>63</v>
      </c>
      <c r="C124" t="s">
        <v>609</v>
      </c>
      <c r="D124" s="1" t="s">
        <v>617</v>
      </c>
      <c r="E124" t="s">
        <v>60</v>
      </c>
      <c r="F124" t="s">
        <v>237</v>
      </c>
      <c r="G124" s="2"/>
      <c r="H124" t="s">
        <v>20</v>
      </c>
      <c r="L124" s="1"/>
      <c r="M124" t="str">
        <f>IF(Fields[[#This Row],[Reference Entity]]&lt;&gt;"","t" &amp;Fields[[#This Row],[Reference Entity]],"")</f>
        <v/>
      </c>
      <c r="P124" s="1"/>
      <c r="R124"/>
      <c r="S124"/>
    </row>
    <row r="125" spans="1:22" x14ac:dyDescent="0.25">
      <c r="A125">
        <v>1</v>
      </c>
      <c r="B125" t="s">
        <v>96</v>
      </c>
      <c r="C125" t="s">
        <v>97</v>
      </c>
      <c r="D125" s="1" t="s">
        <v>100</v>
      </c>
      <c r="E125" t="s">
        <v>498</v>
      </c>
      <c r="F125" t="s">
        <v>497</v>
      </c>
      <c r="G125" s="2"/>
      <c r="L125" s="1" t="s">
        <v>349</v>
      </c>
      <c r="M125" t="str">
        <f>IF(Fields[[#This Row],[Reference Entity]]&lt;&gt;"","t" &amp;Fields[[#This Row],[Reference Entity]],"")</f>
        <v>tPlanAllocationSchedule</v>
      </c>
      <c r="N125" t="str">
        <f>IF(Fields[[#This Row],[Reference Entity]]&lt;&gt;"",RIGHT(Fields[[#This Row],[Column Name]],LEN(Fields[[#This Row],[Column Name]])-2),"")</f>
        <v>PlanAllocationSchedule</v>
      </c>
      <c r="P125" s="1"/>
      <c r="Q125" t="str">
        <f>Fields[[#This Row],[Column Name]]</f>
        <v>idPlanAllocationSchedule</v>
      </c>
      <c r="R125" t="s">
        <v>20</v>
      </c>
      <c r="S125"/>
    </row>
    <row r="126" spans="1:22" x14ac:dyDescent="0.25">
      <c r="A126">
        <v>2</v>
      </c>
      <c r="B126" t="s">
        <v>96</v>
      </c>
      <c r="C126" t="s">
        <v>29</v>
      </c>
      <c r="D126" s="1" t="s">
        <v>101</v>
      </c>
      <c r="E126" t="s">
        <v>30</v>
      </c>
      <c r="F126" t="s">
        <v>4</v>
      </c>
      <c r="G126" s="2"/>
      <c r="L126" s="1" t="s">
        <v>389</v>
      </c>
      <c r="M126" t="str">
        <f>IF(Fields[[#This Row],[Reference Entity]]&lt;&gt;"","t" &amp;Fields[[#This Row],[Reference Entity]],"")</f>
        <v/>
      </c>
      <c r="N126" t="str">
        <f>IF(Fields[[#This Row],[Reference Entity]]&lt;&gt;"",RIGHT(Fields[[#This Row],[Column Name]],LEN(Fields[[#This Row],[Column Name]])-2),"")</f>
        <v/>
      </c>
      <c r="P126" s="1"/>
      <c r="Q126" t="s">
        <v>97</v>
      </c>
      <c r="R126" t="s">
        <v>20</v>
      </c>
      <c r="S126"/>
    </row>
    <row r="127" spans="1:22" x14ac:dyDescent="0.25">
      <c r="A127">
        <v>3</v>
      </c>
      <c r="B127" t="s">
        <v>96</v>
      </c>
      <c r="C127" t="s">
        <v>98</v>
      </c>
      <c r="D127" s="1" t="s">
        <v>103</v>
      </c>
      <c r="E127" t="s">
        <v>60</v>
      </c>
      <c r="F127" t="s">
        <v>237</v>
      </c>
      <c r="G127" s="2"/>
      <c r="L127" s="1" t="s">
        <v>389</v>
      </c>
      <c r="M127" t="str">
        <f>IF(Fields[[#This Row],[Reference Entity]]&lt;&gt;"","t" &amp;Fields[[#This Row],[Reference Entity]],"")</f>
        <v/>
      </c>
      <c r="N127" t="str">
        <f>IF(Fields[[#This Row],[Reference Entity]]&lt;&gt;"",RIGHT(Fields[[#This Row],[Column Name]],LEN(Fields[[#This Row],[Column Name]])-2),"")</f>
        <v/>
      </c>
      <c r="P127" s="1"/>
      <c r="R127"/>
      <c r="S127"/>
    </row>
    <row r="128" spans="1:22" x14ac:dyDescent="0.25">
      <c r="A128">
        <v>1</v>
      </c>
      <c r="B128" t="s">
        <v>7</v>
      </c>
      <c r="C128" t="s">
        <v>5</v>
      </c>
      <c r="D128" s="1" t="s">
        <v>10</v>
      </c>
      <c r="E128" t="s">
        <v>498</v>
      </c>
      <c r="F128" t="s">
        <v>497</v>
      </c>
      <c r="G128" s="2"/>
      <c r="L128" s="1" t="s">
        <v>148</v>
      </c>
      <c r="M128" t="str">
        <f>IF(Fields[[#This Row],[Reference Entity]]&lt;&gt;"","t" &amp;Fields[[#This Row],[Reference Entity]],"")</f>
        <v>tClient</v>
      </c>
      <c r="N128" t="str">
        <f>IF(Fields[[#This Row],[Reference Entity]]&lt;&gt;"",RIGHT(Fields[[#This Row],[Column Name]],LEN(Fields[[#This Row],[Column Name]])-2),"")</f>
        <v>Client</v>
      </c>
      <c r="O128" t="s">
        <v>143</v>
      </c>
      <c r="P128" s="1"/>
      <c r="Q128" t="str">
        <f>Fields[[#This Row],[Column Name]]</f>
        <v>idClient</v>
      </c>
      <c r="R128"/>
      <c r="S128"/>
    </row>
    <row r="129" spans="1:22" x14ac:dyDescent="0.25">
      <c r="A129">
        <v>2</v>
      </c>
      <c r="B129" t="s">
        <v>7</v>
      </c>
      <c r="C129" t="s">
        <v>301</v>
      </c>
      <c r="D129" s="1" t="s">
        <v>11</v>
      </c>
      <c r="E129" t="s">
        <v>498</v>
      </c>
      <c r="F129" t="s">
        <v>497</v>
      </c>
      <c r="G129" s="2"/>
      <c r="H129" t="s">
        <v>20</v>
      </c>
      <c r="L129" s="1" t="s">
        <v>341</v>
      </c>
      <c r="M129" t="str">
        <f>IF(Fields[[#This Row],[Reference Entity]]&lt;&gt;"","t" &amp;Fields[[#This Row],[Reference Entity]],"")</f>
        <v>tCostCenter</v>
      </c>
      <c r="N129" t="str">
        <f>IF(Fields[[#This Row],[Reference Entity]]&lt;&gt;"",RIGHT(Fields[[#This Row],[Column Name]],LEN(Fields[[#This Row],[Column Name]])-2),"")</f>
        <v>CostCenterPlanElement</v>
      </c>
      <c r="P129" s="1"/>
      <c r="Q129" t="str">
        <f>Fields[[#This Row],[Column Name]]</f>
        <v>idCostCenterPlanElement</v>
      </c>
      <c r="R129"/>
      <c r="S129"/>
    </row>
    <row r="130" spans="1:22" ht="30" x14ac:dyDescent="0.25">
      <c r="A130">
        <v>3</v>
      </c>
      <c r="B130" t="s">
        <v>7</v>
      </c>
      <c r="C130" t="s">
        <v>529</v>
      </c>
      <c r="D130" s="1" t="s">
        <v>528</v>
      </c>
      <c r="E130" t="s">
        <v>498</v>
      </c>
      <c r="F130" t="s">
        <v>497</v>
      </c>
      <c r="G130" s="2"/>
      <c r="H130" t="s">
        <v>20</v>
      </c>
      <c r="L130" s="1" t="s">
        <v>337</v>
      </c>
      <c r="M130" t="str">
        <f>IF(Fields[[#This Row],[Reference Entity]]&lt;&gt;"","t" &amp;Fields[[#This Row],[Reference Entity]],"")</f>
        <v>tCurrency</v>
      </c>
      <c r="N130" t="str">
        <f>IF(Fields[[#This Row],[Reference Entity]]&lt;&gt;"",RIGHT(Fields[[#This Row],[Column Name]],LEN(Fields[[#This Row],[Column Name]])-2),"")</f>
        <v>Currency</v>
      </c>
      <c r="P130" s="1"/>
      <c r="Q130" t="str">
        <f>Fields[[#This Row],[Column Name]]</f>
        <v>idCurrency</v>
      </c>
      <c r="T130" s="1"/>
      <c r="U130" s="1"/>
      <c r="V130" t="s">
        <v>476</v>
      </c>
    </row>
    <row r="131" spans="1:22" x14ac:dyDescent="0.25">
      <c r="A131">
        <v>4</v>
      </c>
      <c r="B131" t="s">
        <v>7</v>
      </c>
      <c r="C131" t="s">
        <v>324</v>
      </c>
      <c r="D131" s="1" t="s">
        <v>12</v>
      </c>
      <c r="E131" t="s">
        <v>124</v>
      </c>
      <c r="F131" t="s">
        <v>236</v>
      </c>
      <c r="G131" s="2"/>
      <c r="I131">
        <v>0</v>
      </c>
      <c r="K131" s="1" t="s">
        <v>324</v>
      </c>
      <c r="L131" s="1" t="s">
        <v>389</v>
      </c>
      <c r="M131" t="str">
        <f>IF(Fields[[#This Row],[Reference Entity]]&lt;&gt;"","t" &amp;Fields[[#This Row],[Reference Entity]],"")</f>
        <v/>
      </c>
      <c r="N131" t="str">
        <f>IF(Fields[[#This Row],[Reference Entity]]&lt;&gt;"",RIGHT(Fields[[#This Row],[Column Name]],LEN(Fields[[#This Row],[Column Name]])-2),"")</f>
        <v/>
      </c>
      <c r="P131" s="1"/>
      <c r="R131"/>
      <c r="S131"/>
    </row>
    <row r="132" spans="1:22" ht="30" x14ac:dyDescent="0.25">
      <c r="A132">
        <v>5</v>
      </c>
      <c r="B132" t="s">
        <v>7</v>
      </c>
      <c r="C132" t="s">
        <v>41</v>
      </c>
      <c r="D132" s="1" t="s">
        <v>42</v>
      </c>
      <c r="E132" t="s">
        <v>498</v>
      </c>
      <c r="F132" t="s">
        <v>497</v>
      </c>
      <c r="G132" s="2"/>
      <c r="H132" t="s">
        <v>20</v>
      </c>
      <c r="L132" s="1" t="s">
        <v>348</v>
      </c>
      <c r="M132" t="str">
        <f>IF(Fields[[#This Row],[Reference Entity]]&lt;&gt;"","t" &amp;Fields[[#This Row],[Reference Entity]],"")</f>
        <v>tPlanGroup</v>
      </c>
      <c r="N132" t="str">
        <f>IF(Fields[[#This Row],[Reference Entity]]&lt;&gt;"",RIGHT(Fields[[#This Row],[Column Name]],LEN(Fields[[#This Row],[Column Name]])-2),"")</f>
        <v>PlanGroup</v>
      </c>
      <c r="P132" s="1"/>
      <c r="Q132" t="str">
        <f>Fields[[#This Row],[Column Name]]</f>
        <v>idPlanGroup</v>
      </c>
      <c r="R132"/>
      <c r="S132"/>
    </row>
    <row r="133" spans="1:22" x14ac:dyDescent="0.25">
      <c r="A133">
        <v>6</v>
      </c>
      <c r="B133" t="s">
        <v>7</v>
      </c>
      <c r="C133" t="s">
        <v>313</v>
      </c>
      <c r="D133" s="1" t="s">
        <v>44</v>
      </c>
      <c r="E133" t="s">
        <v>19</v>
      </c>
      <c r="F133" t="s">
        <v>242</v>
      </c>
      <c r="G133" s="2">
        <v>50</v>
      </c>
      <c r="L133" s="1" t="s">
        <v>389</v>
      </c>
      <c r="M133" t="str">
        <f>IF(Fields[[#This Row],[Reference Entity]]&lt;&gt;"","t" &amp;Fields[[#This Row],[Reference Entity]],"")</f>
        <v/>
      </c>
      <c r="N133" t="str">
        <f>IF(Fields[[#This Row],[Reference Entity]]&lt;&gt;"",RIGHT(Fields[[#This Row],[Column Name]],LEN(Fields[[#This Row],[Column Name]])-2),"")</f>
        <v/>
      </c>
      <c r="P133" s="1"/>
      <c r="R133"/>
      <c r="S133"/>
    </row>
    <row r="134" spans="1:22" ht="60" x14ac:dyDescent="0.25">
      <c r="A134">
        <v>7</v>
      </c>
      <c r="B134" t="s">
        <v>7</v>
      </c>
      <c r="C134" t="s">
        <v>305</v>
      </c>
      <c r="D134" s="1" t="s">
        <v>37</v>
      </c>
      <c r="E134" t="s">
        <v>19</v>
      </c>
      <c r="F134" t="s">
        <v>242</v>
      </c>
      <c r="G134" s="2">
        <v>15</v>
      </c>
      <c r="H134" t="s">
        <v>20</v>
      </c>
      <c r="I134" s="4" t="s">
        <v>389</v>
      </c>
      <c r="L134" s="1" t="s">
        <v>389</v>
      </c>
      <c r="M134" t="str">
        <f>IF(Fields[[#This Row],[Reference Entity]]&lt;&gt;"","t" &amp;Fields[[#This Row],[Reference Entity]],"")</f>
        <v/>
      </c>
      <c r="N134" t="str">
        <f>IF(Fields[[#This Row],[Reference Entity]]&lt;&gt;"",RIGHT(Fields[[#This Row],[Column Name]],LEN(Fields[[#This Row],[Column Name]])-2),"")</f>
        <v/>
      </c>
      <c r="P134" s="1"/>
      <c r="Q134" t="str">
        <f>Fields[[#This Row],[Column Name]]</f>
        <v>ReferenceIDPlanElement</v>
      </c>
      <c r="R134"/>
      <c r="S134"/>
    </row>
    <row r="135" spans="1:22" ht="30" x14ac:dyDescent="0.25">
      <c r="A135">
        <v>8</v>
      </c>
      <c r="B135" t="s">
        <v>7</v>
      </c>
      <c r="C135" t="s">
        <v>298</v>
      </c>
      <c r="D135" s="1" t="s">
        <v>14</v>
      </c>
      <c r="E135" t="s">
        <v>18</v>
      </c>
      <c r="F135" t="s">
        <v>6</v>
      </c>
      <c r="G135" s="2"/>
      <c r="I135">
        <v>0</v>
      </c>
      <c r="L135" s="1" t="s">
        <v>389</v>
      </c>
      <c r="M135" t="str">
        <f>IF(Fields[[#This Row],[Reference Entity]]&lt;&gt;"","t" &amp;Fields[[#This Row],[Reference Entity]],"")</f>
        <v/>
      </c>
      <c r="N135" t="str">
        <f>IF(Fields[[#This Row],[Reference Entity]]&lt;&gt;"",RIGHT(Fields[[#This Row],[Column Name]],LEN(Fields[[#This Row],[Column Name]])-2),"")</f>
        <v/>
      </c>
      <c r="P135" s="1" t="s">
        <v>49</v>
      </c>
      <c r="R135"/>
      <c r="S135"/>
    </row>
    <row r="136" spans="1:22" x14ac:dyDescent="0.25">
      <c r="A136">
        <v>9</v>
      </c>
      <c r="B136" t="s">
        <v>7</v>
      </c>
      <c r="C136" t="s">
        <v>296</v>
      </c>
      <c r="D136" s="1" t="s">
        <v>46</v>
      </c>
      <c r="E136" t="s">
        <v>45</v>
      </c>
      <c r="F136" t="s">
        <v>242</v>
      </c>
      <c r="G136" s="2" t="s">
        <v>241</v>
      </c>
      <c r="H136" t="s">
        <v>20</v>
      </c>
      <c r="L136" s="1" t="s">
        <v>389</v>
      </c>
      <c r="M136" t="str">
        <f>IF(Fields[[#This Row],[Reference Entity]]&lt;&gt;"","t" &amp;Fields[[#This Row],[Reference Entity]],"")</f>
        <v/>
      </c>
      <c r="N136" t="str">
        <f>IF(Fields[[#This Row],[Reference Entity]]&lt;&gt;"",RIGHT(Fields[[#This Row],[Column Name]],LEN(Fields[[#This Row],[Column Name]])-2),"")</f>
        <v/>
      </c>
      <c r="P136" s="1"/>
      <c r="R136"/>
      <c r="S136"/>
    </row>
    <row r="137" spans="1:22" ht="75" x14ac:dyDescent="0.25">
      <c r="A137">
        <v>1</v>
      </c>
      <c r="B137" t="s">
        <v>648</v>
      </c>
      <c r="C137" t="s">
        <v>144</v>
      </c>
      <c r="D137" s="1" t="s">
        <v>145</v>
      </c>
      <c r="E137" t="s">
        <v>498</v>
      </c>
      <c r="F137" t="s">
        <v>497</v>
      </c>
      <c r="G137" s="2"/>
      <c r="L137" s="1" t="s">
        <v>350</v>
      </c>
      <c r="M137" t="str">
        <f>IF(Fields[[#This Row],[Reference Entity]]&lt;&gt;"","t" &amp;Fields[[#This Row],[Reference Entity]],"")</f>
        <v>tPlanElementInstance</v>
      </c>
      <c r="N137" t="str">
        <f>IF(Fields[[#This Row],[Reference Entity]]&lt;&gt;"",RIGHT(Fields[[#This Row],[Column Name]],LEN(Fields[[#This Row],[Column Name]])-2),"")</f>
        <v>PlanInstance</v>
      </c>
      <c r="O137" t="s">
        <v>143</v>
      </c>
      <c r="P137" s="1"/>
      <c r="Q137" t="str">
        <f>Fields[[#This Row],[Column Name]]</f>
        <v>idPlanInstance</v>
      </c>
      <c r="T137" s="1"/>
      <c r="U137" s="1"/>
      <c r="V137" t="s">
        <v>476</v>
      </c>
    </row>
    <row r="138" spans="1:22" x14ac:dyDescent="0.25">
      <c r="A138">
        <v>2</v>
      </c>
      <c r="B138" t="s">
        <v>648</v>
      </c>
      <c r="C138" t="s">
        <v>195</v>
      </c>
      <c r="D138" s="1" t="s">
        <v>193</v>
      </c>
      <c r="E138" t="s">
        <v>498</v>
      </c>
      <c r="F138" t="s">
        <v>497</v>
      </c>
      <c r="G138" s="2"/>
      <c r="L138" s="1" t="s">
        <v>339</v>
      </c>
      <c r="M138" t="str">
        <f>IF(Fields[[#This Row],[Reference Entity]]&lt;&gt;"","t" &amp;Fields[[#This Row],[Reference Entity]],"")</f>
        <v>tAccount</v>
      </c>
      <c r="N138" t="str">
        <f>IF(Fields[[#This Row],[Reference Entity]]&lt;&gt;"",RIGHT(Fields[[#This Row],[Column Name]],LEN(Fields[[#This Row],[Column Name]])-2),"")</f>
        <v>AccountDebit</v>
      </c>
      <c r="P138" s="1"/>
      <c r="Q138" t="str">
        <f>Fields[[#This Row],[Column Name]]</f>
        <v>idAccountDebit</v>
      </c>
      <c r="T138" s="1"/>
      <c r="U138" s="1" t="s">
        <v>365</v>
      </c>
      <c r="V138" t="s">
        <v>476</v>
      </c>
    </row>
    <row r="139" spans="1:22" ht="30" x14ac:dyDescent="0.25">
      <c r="A139">
        <v>3</v>
      </c>
      <c r="B139" t="s">
        <v>648</v>
      </c>
      <c r="C139" t="s">
        <v>196</v>
      </c>
      <c r="D139" s="1" t="s">
        <v>565</v>
      </c>
      <c r="E139" t="s">
        <v>498</v>
      </c>
      <c r="F139" t="s">
        <v>497</v>
      </c>
      <c r="G139" s="2"/>
      <c r="L139" s="1" t="s">
        <v>339</v>
      </c>
      <c r="M139" t="str">
        <f>IF(Fields[[#This Row],[Reference Entity]]&lt;&gt;"","t" &amp;Fields[[#This Row],[Reference Entity]],"")</f>
        <v>tAccount</v>
      </c>
      <c r="N139" t="str">
        <f>IF(Fields[[#This Row],[Reference Entity]]&lt;&gt;"",RIGHT(Fields[[#This Row],[Column Name]],LEN(Fields[[#This Row],[Column Name]])-2),"")</f>
        <v>AccountCredit</v>
      </c>
      <c r="P139" s="1"/>
      <c r="Q139" t="str">
        <f>Fields[[#This Row],[Column Name]]</f>
        <v>idAccountCredit</v>
      </c>
      <c r="T139" s="1"/>
      <c r="U139" s="1" t="s">
        <v>567</v>
      </c>
      <c r="V139" t="s">
        <v>476</v>
      </c>
    </row>
    <row r="140" spans="1:22" ht="30" x14ac:dyDescent="0.25">
      <c r="A140">
        <v>4</v>
      </c>
      <c r="B140" t="s">
        <v>648</v>
      </c>
      <c r="C140" t="s">
        <v>54</v>
      </c>
      <c r="D140" s="1" t="s">
        <v>72</v>
      </c>
      <c r="E140" t="s">
        <v>498</v>
      </c>
      <c r="F140" t="s">
        <v>497</v>
      </c>
      <c r="G140" s="2"/>
      <c r="H140" t="s">
        <v>20</v>
      </c>
      <c r="L140" s="1" t="s">
        <v>349</v>
      </c>
      <c r="M140" t="str">
        <f>IF(Fields[[#This Row],[Reference Entity]]&lt;&gt;"","t" &amp;Fields[[#This Row],[Reference Entity]],"")</f>
        <v>tPlanAllocationSchedule</v>
      </c>
      <c r="N140" t="str">
        <f>IF(Fields[[#This Row],[Reference Entity]]&lt;&gt;"",RIGHT(Fields[[#This Row],[Column Name]],LEN(Fields[[#This Row],[Column Name]])-2),"")</f>
        <v>AllocationSchedule</v>
      </c>
      <c r="P140" s="1"/>
      <c r="Q140" t="str">
        <f>Fields[[#This Row],[Column Name]]</f>
        <v>idAllocationSchedule</v>
      </c>
      <c r="T140" s="1"/>
      <c r="U140" s="1"/>
      <c r="V140" t="s">
        <v>476</v>
      </c>
    </row>
    <row r="141" spans="1:22" x14ac:dyDescent="0.25">
      <c r="A141">
        <v>5</v>
      </c>
      <c r="B141" t="s">
        <v>648</v>
      </c>
      <c r="C141" t="s">
        <v>139</v>
      </c>
      <c r="D141" s="1" t="s">
        <v>138</v>
      </c>
      <c r="E141" t="s">
        <v>124</v>
      </c>
      <c r="F141" t="s">
        <v>236</v>
      </c>
      <c r="G141" s="2"/>
      <c r="I141">
        <v>0</v>
      </c>
      <c r="K141" s="1" t="s">
        <v>139</v>
      </c>
      <c r="L141" s="1" t="s">
        <v>389</v>
      </c>
      <c r="M141" t="str">
        <f>IF(Fields[[#This Row],[Reference Entity]]&lt;&gt;"","t" &amp;Fields[[#This Row],[Reference Entity]],"")</f>
        <v/>
      </c>
      <c r="N141" t="str">
        <f>IF(Fields[[#This Row],[Reference Entity]]&lt;&gt;"",RIGHT(Fields[[#This Row],[Column Name]],LEN(Fields[[#This Row],[Column Name]])-2),"")</f>
        <v/>
      </c>
      <c r="P141" s="1"/>
      <c r="T141" s="1"/>
      <c r="U141" s="1"/>
      <c r="V141" t="s">
        <v>476</v>
      </c>
    </row>
    <row r="142" spans="1:22" ht="135" x14ac:dyDescent="0.25">
      <c r="A142">
        <v>6</v>
      </c>
      <c r="B142" t="s">
        <v>648</v>
      </c>
      <c r="C142" t="s">
        <v>467</v>
      </c>
      <c r="D142" s="1" t="s">
        <v>470</v>
      </c>
      <c r="E142" t="s">
        <v>498</v>
      </c>
      <c r="F142" t="s">
        <v>497</v>
      </c>
      <c r="G142" s="2"/>
      <c r="H142" t="s">
        <v>20</v>
      </c>
      <c r="L142" s="1" t="s">
        <v>457</v>
      </c>
      <c r="M142" t="str">
        <f>IF(Fields[[#This Row],[Reference Entity]]&lt;&gt;"","t" &amp;Fields[[#This Row],[Reference Entity]],"")</f>
        <v>tPlanInflationRule</v>
      </c>
      <c r="N142" t="str">
        <f>IF(Fields[[#This Row],[Reference Entity]]&lt;&gt;"",RIGHT(Fields[[#This Row],[Column Name]],LEN(Fields[[#This Row],[Column Name]])-2),"")</f>
        <v>InflationRule</v>
      </c>
      <c r="P142" s="1"/>
      <c r="Q142" t="str">
        <f>Fields[[#This Row],[Column Name]]</f>
        <v>idInflationRule</v>
      </c>
      <c r="T142" s="1"/>
      <c r="U142" s="1"/>
      <c r="V142" t="s">
        <v>476</v>
      </c>
    </row>
    <row r="143" spans="1:22" ht="30" x14ac:dyDescent="0.25">
      <c r="A143">
        <v>7</v>
      </c>
      <c r="B143" t="s">
        <v>648</v>
      </c>
      <c r="C143" t="s">
        <v>136</v>
      </c>
      <c r="D143" s="1" t="s">
        <v>74</v>
      </c>
      <c r="E143" t="s">
        <v>498</v>
      </c>
      <c r="F143" t="s">
        <v>497</v>
      </c>
      <c r="G143" s="2"/>
      <c r="H143" t="s">
        <v>20</v>
      </c>
      <c r="L143" s="1" t="s">
        <v>351</v>
      </c>
      <c r="M143" t="str">
        <f>IF(Fields[[#This Row],[Reference Entity]]&lt;&gt;"","t" &amp;Fields[[#This Row],[Reference Entity]],"")</f>
        <v>tPlanParameter</v>
      </c>
      <c r="N143" t="str">
        <f>IF(Fields[[#This Row],[Reference Entity]]&lt;&gt;"",RIGHT(Fields[[#This Row],[Column Name]],LEN(Fields[[#This Row],[Column Name]])-2),"")</f>
        <v>ParPrice1</v>
      </c>
      <c r="P143" s="1"/>
      <c r="Q143" t="str">
        <f>Fields[[#This Row],[Column Name]]</f>
        <v>idParPrice1</v>
      </c>
      <c r="T143" s="1"/>
      <c r="U143" s="1" t="s">
        <v>366</v>
      </c>
      <c r="V143" t="s">
        <v>476</v>
      </c>
    </row>
    <row r="144" spans="1:22" ht="30" x14ac:dyDescent="0.25">
      <c r="A144">
        <v>8</v>
      </c>
      <c r="B144" t="s">
        <v>648</v>
      </c>
      <c r="C144" t="s">
        <v>137</v>
      </c>
      <c r="D144" s="1" t="s">
        <v>84</v>
      </c>
      <c r="E144" t="s">
        <v>498</v>
      </c>
      <c r="F144" t="s">
        <v>497</v>
      </c>
      <c r="G144" s="2"/>
      <c r="H144" t="s">
        <v>20</v>
      </c>
      <c r="L144" s="1" t="s">
        <v>351</v>
      </c>
      <c r="M144" t="str">
        <f>IF(Fields[[#This Row],[Reference Entity]]&lt;&gt;"","t" &amp;Fields[[#This Row],[Reference Entity]],"")</f>
        <v>tPlanParameter</v>
      </c>
      <c r="N144" t="str">
        <f>IF(Fields[[#This Row],[Reference Entity]]&lt;&gt;"",RIGHT(Fields[[#This Row],[Column Name]],LEN(Fields[[#This Row],[Column Name]])-2),"")</f>
        <v>ParPrice2</v>
      </c>
      <c r="P144" s="1"/>
      <c r="Q144" t="str">
        <f>Fields[[#This Row],[Column Name]]</f>
        <v>idParPrice2</v>
      </c>
      <c r="T144" s="1"/>
      <c r="U144" s="1" t="s">
        <v>367</v>
      </c>
      <c r="V144" t="s">
        <v>476</v>
      </c>
    </row>
    <row r="145" spans="1:22" x14ac:dyDescent="0.25">
      <c r="A145">
        <v>10</v>
      </c>
      <c r="B145" t="s">
        <v>648</v>
      </c>
      <c r="C145" t="s">
        <v>57</v>
      </c>
      <c r="D145" s="1" t="s">
        <v>85</v>
      </c>
      <c r="E145" t="s">
        <v>30</v>
      </c>
      <c r="F145" t="s">
        <v>4</v>
      </c>
      <c r="G145" s="2"/>
      <c r="I145">
        <v>1</v>
      </c>
      <c r="L145" s="1" t="s">
        <v>389</v>
      </c>
      <c r="M145" t="str">
        <f>IF(Fields[[#This Row],[Reference Entity]]&lt;&gt;"","t" &amp;Fields[[#This Row],[Reference Entity]],"")</f>
        <v/>
      </c>
      <c r="N145" t="str">
        <f>IF(Fields[[#This Row],[Reference Entity]]&lt;&gt;"",RIGHT(Fields[[#This Row],[Column Name]],LEN(Fields[[#This Row],[Column Name]])-2),"")</f>
        <v/>
      </c>
      <c r="P145" s="1"/>
      <c r="T145" s="1"/>
      <c r="U145" s="1"/>
      <c r="V145" t="s">
        <v>476</v>
      </c>
    </row>
    <row r="146" spans="1:22" ht="30" x14ac:dyDescent="0.25">
      <c r="A146">
        <v>11</v>
      </c>
      <c r="B146" t="s">
        <v>648</v>
      </c>
      <c r="C146" t="s">
        <v>68</v>
      </c>
      <c r="D146" s="1" t="s">
        <v>86</v>
      </c>
      <c r="E146" t="s">
        <v>60</v>
      </c>
      <c r="F146" t="s">
        <v>237</v>
      </c>
      <c r="G146" s="2"/>
      <c r="L146" s="1" t="s">
        <v>389</v>
      </c>
      <c r="M146" t="str">
        <f>IF(Fields[[#This Row],[Reference Entity]]&lt;&gt;"","t" &amp;Fields[[#This Row],[Reference Entity]],"")</f>
        <v/>
      </c>
      <c r="N146" t="str">
        <f>IF(Fields[[#This Row],[Reference Entity]]&lt;&gt;"",RIGHT(Fields[[#This Row],[Column Name]],LEN(Fields[[#This Row],[Column Name]])-2),"")</f>
        <v/>
      </c>
      <c r="P146" s="1"/>
      <c r="T146" s="1"/>
      <c r="U146" s="1"/>
      <c r="V146" t="s">
        <v>476</v>
      </c>
    </row>
    <row r="147" spans="1:22" x14ac:dyDescent="0.25">
      <c r="A147">
        <v>12</v>
      </c>
      <c r="B147" t="s">
        <v>648</v>
      </c>
      <c r="C147" t="s">
        <v>58</v>
      </c>
      <c r="D147" s="1" t="s">
        <v>87</v>
      </c>
      <c r="E147" t="s">
        <v>17</v>
      </c>
      <c r="F147" t="s">
        <v>395</v>
      </c>
      <c r="G147" s="2"/>
      <c r="H147" t="s">
        <v>20</v>
      </c>
      <c r="L147" s="1" t="s">
        <v>389</v>
      </c>
      <c r="M147" t="str">
        <f>IF(Fields[[#This Row],[Reference Entity]]&lt;&gt;"","t" &amp;Fields[[#This Row],[Reference Entity]],"")</f>
        <v/>
      </c>
      <c r="N147" t="str">
        <f>IF(Fields[[#This Row],[Reference Entity]]&lt;&gt;"",RIGHT(Fields[[#This Row],[Column Name]],LEN(Fields[[#This Row],[Column Name]])-2),"")</f>
        <v/>
      </c>
      <c r="P147" s="1"/>
      <c r="T147" s="1"/>
      <c r="U147" s="1"/>
      <c r="V147" t="s">
        <v>476</v>
      </c>
    </row>
    <row r="148" spans="1:22" x14ac:dyDescent="0.25">
      <c r="A148">
        <v>13</v>
      </c>
      <c r="B148" t="s">
        <v>648</v>
      </c>
      <c r="C148" t="s">
        <v>534</v>
      </c>
      <c r="D148" s="1" t="s">
        <v>578</v>
      </c>
      <c r="E148" t="s">
        <v>60</v>
      </c>
      <c r="F148" t="s">
        <v>237</v>
      </c>
      <c r="G148" s="2"/>
      <c r="L148" s="1" t="s">
        <v>389</v>
      </c>
      <c r="M148" t="str">
        <f>IF(Fields[[#This Row],[Reference Entity]]&lt;&gt;"","t" &amp;Fields[[#This Row],[Reference Entity]],"")</f>
        <v/>
      </c>
      <c r="N148" t="str">
        <f>IF(Fields[[#This Row],[Reference Entity]]&lt;&gt;"",RIGHT(Fields[[#This Row],[Column Name]],LEN(Fields[[#This Row],[Column Name]])-2),"")</f>
        <v/>
      </c>
      <c r="P148" s="1"/>
      <c r="T148" s="1"/>
      <c r="U148" s="1"/>
      <c r="V148" t="s">
        <v>476</v>
      </c>
    </row>
    <row r="149" spans="1:22" ht="30" x14ac:dyDescent="0.25">
      <c r="A149">
        <v>14</v>
      </c>
      <c r="B149" t="s">
        <v>648</v>
      </c>
      <c r="C149" t="s">
        <v>509</v>
      </c>
      <c r="D149" s="1" t="s">
        <v>510</v>
      </c>
      <c r="E149" t="s">
        <v>498</v>
      </c>
      <c r="F149" t="s">
        <v>497</v>
      </c>
      <c r="G149" s="2"/>
      <c r="H149" t="s">
        <v>20</v>
      </c>
      <c r="L149" s="1" t="s">
        <v>351</v>
      </c>
      <c r="M149" t="str">
        <f>IF(Fields[[#This Row],[Reference Entity]]&lt;&gt;"","t" &amp;Fields[[#This Row],[Reference Entity]],"")</f>
        <v>tPlanParameter</v>
      </c>
      <c r="N149" t="str">
        <f>IF(Fields[[#This Row],[Reference Entity]]&lt;&gt;"",RIGHT(Fields[[#This Row],[Column Name]],LEN(Fields[[#This Row],[Column Name]])-2),"")</f>
        <v>ParContingencyRate</v>
      </c>
      <c r="P149" s="1"/>
      <c r="Q149" t="str">
        <f>Fields[[#This Row],[Column Name]]</f>
        <v>idParContingencyRate</v>
      </c>
      <c r="T149" s="1"/>
      <c r="U149" s="1" t="s">
        <v>69</v>
      </c>
      <c r="V149" t="s">
        <v>476</v>
      </c>
    </row>
    <row r="150" spans="1:22" ht="90" x14ac:dyDescent="0.25">
      <c r="A150">
        <v>1</v>
      </c>
      <c r="B150" t="s">
        <v>653</v>
      </c>
      <c r="C150" t="s">
        <v>144</v>
      </c>
      <c r="D150" s="1" t="s">
        <v>654</v>
      </c>
      <c r="E150" t="s">
        <v>498</v>
      </c>
      <c r="F150" t="s">
        <v>497</v>
      </c>
      <c r="G150" s="2"/>
      <c r="L150" s="1" t="s">
        <v>350</v>
      </c>
      <c r="M150" t="str">
        <f>IF(Fields[[#This Row],[Reference Entity]]&lt;&gt;"","t" &amp;Fields[[#This Row],[Reference Entity]],"")</f>
        <v>tPlanElementInstance</v>
      </c>
      <c r="N150" t="str">
        <f>IF(Fields[[#This Row],[Reference Entity]]&lt;&gt;"",RIGHT(Fields[[#This Row],[Column Name]],LEN(Fields[[#This Row],[Column Name]])-2),"")</f>
        <v>PlanInstance</v>
      </c>
      <c r="O150" t="s">
        <v>143</v>
      </c>
      <c r="P150" s="1"/>
      <c r="Q150" t="str">
        <f>Fields[[#This Row],[Column Name]]</f>
        <v>idPlanInstance</v>
      </c>
      <c r="R150"/>
      <c r="S150"/>
    </row>
    <row r="151" spans="1:22" x14ac:dyDescent="0.25">
      <c r="A151">
        <v>2</v>
      </c>
      <c r="B151" t="s">
        <v>653</v>
      </c>
      <c r="C151" t="s">
        <v>192</v>
      </c>
      <c r="D151" s="1" t="s">
        <v>193</v>
      </c>
      <c r="E151" t="s">
        <v>498</v>
      </c>
      <c r="F151" t="s">
        <v>497</v>
      </c>
      <c r="G151" s="2"/>
      <c r="L151" s="1" t="s">
        <v>339</v>
      </c>
      <c r="M151" t="str">
        <f>IF(Fields[[#This Row],[Reference Entity]]&lt;&gt;"","t" &amp;Fields[[#This Row],[Reference Entity]],"")</f>
        <v>tAccount</v>
      </c>
      <c r="N151" t="str">
        <f>IF(Fields[[#This Row],[Reference Entity]]&lt;&gt;"",RIGHT(Fields[[#This Row],[Column Name]],LEN(Fields[[#This Row],[Column Name]])-2),"")</f>
        <v>AccountMain</v>
      </c>
      <c r="P151" s="1"/>
      <c r="Q151" t="str">
        <f>Fields[[#This Row],[Column Name]]</f>
        <v>idAccountMain</v>
      </c>
      <c r="R151"/>
      <c r="S151"/>
      <c r="U151" t="s">
        <v>365</v>
      </c>
    </row>
    <row r="152" spans="1:22" ht="30" x14ac:dyDescent="0.25">
      <c r="A152">
        <v>3</v>
      </c>
      <c r="B152" t="s">
        <v>653</v>
      </c>
      <c r="C152" t="s">
        <v>54</v>
      </c>
      <c r="D152" s="1" t="s">
        <v>72</v>
      </c>
      <c r="E152" t="s">
        <v>498</v>
      </c>
      <c r="F152" t="s">
        <v>497</v>
      </c>
      <c r="G152" s="2"/>
      <c r="H152" t="s">
        <v>20</v>
      </c>
      <c r="L152" s="1" t="s">
        <v>349</v>
      </c>
      <c r="M152" t="str">
        <f>IF(Fields[[#This Row],[Reference Entity]]&lt;&gt;"","t" &amp;Fields[[#This Row],[Reference Entity]],"")</f>
        <v>tPlanAllocationSchedule</v>
      </c>
      <c r="N152" t="str">
        <f>IF(Fields[[#This Row],[Reference Entity]]&lt;&gt;"",RIGHT(Fields[[#This Row],[Column Name]],LEN(Fields[[#This Row],[Column Name]])-2),"")</f>
        <v>AllocationSchedule</v>
      </c>
      <c r="P152" s="1"/>
      <c r="Q152" t="str">
        <f>Fields[[#This Row],[Column Name]]</f>
        <v>idAllocationSchedule</v>
      </c>
      <c r="R152"/>
      <c r="S152"/>
    </row>
    <row r="153" spans="1:22" x14ac:dyDescent="0.25">
      <c r="A153">
        <v>4</v>
      </c>
      <c r="B153" t="s">
        <v>653</v>
      </c>
      <c r="C153" t="s">
        <v>139</v>
      </c>
      <c r="D153" s="1" t="s">
        <v>138</v>
      </c>
      <c r="E153" t="s">
        <v>124</v>
      </c>
      <c r="F153" t="s">
        <v>236</v>
      </c>
      <c r="G153" s="2"/>
      <c r="I153">
        <v>0</v>
      </c>
      <c r="K153" s="1" t="s">
        <v>139</v>
      </c>
      <c r="L153" s="1" t="s">
        <v>389</v>
      </c>
      <c r="M153" t="str">
        <f>IF(Fields[[#This Row],[Reference Entity]]&lt;&gt;"","t" &amp;Fields[[#This Row],[Reference Entity]],"")</f>
        <v/>
      </c>
      <c r="N153" t="str">
        <f>IF(Fields[[#This Row],[Reference Entity]]&lt;&gt;"",RIGHT(Fields[[#This Row],[Column Name]],LEN(Fields[[#This Row],[Column Name]])-2),"")</f>
        <v/>
      </c>
      <c r="P153" s="1"/>
      <c r="R153"/>
      <c r="S153"/>
    </row>
    <row r="154" spans="1:22" ht="30" x14ac:dyDescent="0.25">
      <c r="A154">
        <v>5</v>
      </c>
      <c r="B154" t="s">
        <v>653</v>
      </c>
      <c r="C154" t="s">
        <v>566</v>
      </c>
      <c r="D154" s="1" t="s">
        <v>565</v>
      </c>
      <c r="E154" t="s">
        <v>498</v>
      </c>
      <c r="F154" t="s">
        <v>497</v>
      </c>
      <c r="G154" s="2"/>
      <c r="H154" t="s">
        <v>20</v>
      </c>
      <c r="L154" s="1" t="s">
        <v>339</v>
      </c>
      <c r="M154" t="str">
        <f>IF(Fields[[#This Row],[Reference Entity]]&lt;&gt;"","t" &amp;Fields[[#This Row],[Reference Entity]],"")</f>
        <v>tAccount</v>
      </c>
      <c r="N154" t="str">
        <f>IF(Fields[[#This Row],[Reference Entity]]&lt;&gt;"",RIGHT(Fields[[#This Row],[Column Name]],LEN(Fields[[#This Row],[Column Name]])-2),"")</f>
        <v>AccountAdvance</v>
      </c>
      <c r="P154" s="1"/>
      <c r="Q154" t="str">
        <f>Fields[[#This Row],[Column Name]]</f>
        <v>idAccountAdvance</v>
      </c>
      <c r="R154"/>
      <c r="S154"/>
      <c r="U154" t="s">
        <v>567</v>
      </c>
      <c r="V154" t="s">
        <v>456</v>
      </c>
    </row>
    <row r="155" spans="1:22" ht="60" x14ac:dyDescent="0.25">
      <c r="A155">
        <v>6</v>
      </c>
      <c r="B155" t="s">
        <v>653</v>
      </c>
      <c r="C155" t="s">
        <v>563</v>
      </c>
      <c r="D155" s="1" t="s">
        <v>573</v>
      </c>
      <c r="E155" t="s">
        <v>498</v>
      </c>
      <c r="F155" t="s">
        <v>497</v>
      </c>
      <c r="G155" s="2"/>
      <c r="H155" t="s">
        <v>20</v>
      </c>
      <c r="L155" s="1" t="s">
        <v>351</v>
      </c>
      <c r="M155" t="str">
        <f>IF(Fields[[#This Row],[Reference Entity]]&lt;&gt;"","t" &amp;Fields[[#This Row],[Reference Entity]],"")</f>
        <v>tPlanParameter</v>
      </c>
      <c r="N155" t="str">
        <f>IF(Fields[[#This Row],[Reference Entity]]&lt;&gt;"",RIGHT(Fields[[#This Row],[Column Name]],LEN(Fields[[#This Row],[Column Name]])-2),"")</f>
        <v>ParTriggerAdvance</v>
      </c>
      <c r="P155" s="1"/>
      <c r="Q155" t="str">
        <f>Fields[[#This Row],[Column Name]]</f>
        <v>idParTriggerAdvance</v>
      </c>
      <c r="R155"/>
      <c r="S155"/>
      <c r="U155" t="s">
        <v>564</v>
      </c>
      <c r="V155" t="s">
        <v>476</v>
      </c>
    </row>
    <row r="156" spans="1:22" ht="45" x14ac:dyDescent="0.25">
      <c r="A156">
        <v>7</v>
      </c>
      <c r="B156" t="s">
        <v>653</v>
      </c>
      <c r="C156" t="s">
        <v>572</v>
      </c>
      <c r="D156" s="1" t="s">
        <v>574</v>
      </c>
      <c r="E156" t="s">
        <v>30</v>
      </c>
      <c r="F156" t="s">
        <v>4</v>
      </c>
      <c r="G156" s="2"/>
      <c r="I156">
        <v>0</v>
      </c>
      <c r="L156" s="1" t="s">
        <v>389</v>
      </c>
      <c r="M156" t="str">
        <f>IF(Fields[[#This Row],[Reference Entity]]&lt;&gt;"","t" &amp;Fields[[#This Row],[Reference Entity]],"")</f>
        <v/>
      </c>
      <c r="N156" t="str">
        <f>IF(Fields[[#This Row],[Reference Entity]]&lt;&gt;"",RIGHT(Fields[[#This Row],[Column Name]],LEN(Fields[[#This Row],[Column Name]])-2),"")</f>
        <v/>
      </c>
      <c r="P156" s="1"/>
      <c r="R156"/>
      <c r="S156"/>
      <c r="V156" t="s">
        <v>476</v>
      </c>
    </row>
    <row r="157" spans="1:22" x14ac:dyDescent="0.25">
      <c r="A157">
        <v>8</v>
      </c>
      <c r="B157" t="s">
        <v>653</v>
      </c>
      <c r="C157" t="s">
        <v>190</v>
      </c>
      <c r="D157" s="1" t="s">
        <v>655</v>
      </c>
      <c r="E157" t="s">
        <v>498</v>
      </c>
      <c r="F157" t="s">
        <v>497</v>
      </c>
      <c r="G157" s="2"/>
      <c r="H157" t="s">
        <v>20</v>
      </c>
      <c r="L157" s="1" t="s">
        <v>342</v>
      </c>
      <c r="M157" t="str">
        <f>IF(Fields[[#This Row],[Reference Entity]]&lt;&gt;"","t" &amp;Fields[[#This Row],[Reference Entity]],"")</f>
        <v>tDepreciationRule</v>
      </c>
      <c r="N157" t="str">
        <f>IF(Fields[[#This Row],[Reference Entity]]&lt;&gt;"",RIGHT(Fields[[#This Row],[Column Name]],LEN(Fields[[#This Row],[Column Name]])-2),"")</f>
        <v>DepreciationRule</v>
      </c>
      <c r="P157" s="1"/>
      <c r="Q157" t="str">
        <f>Fields[[#This Row],[Column Name]]</f>
        <v>idDepreciationRule</v>
      </c>
      <c r="R157"/>
      <c r="S157"/>
    </row>
    <row r="158" spans="1:22" ht="30" x14ac:dyDescent="0.25">
      <c r="A158">
        <v>9</v>
      </c>
      <c r="B158" t="s">
        <v>653</v>
      </c>
      <c r="C158" t="s">
        <v>194</v>
      </c>
      <c r="D158" s="1" t="s">
        <v>656</v>
      </c>
      <c r="E158" t="s">
        <v>498</v>
      </c>
      <c r="F158" t="s">
        <v>497</v>
      </c>
      <c r="G158" s="2"/>
      <c r="H158" t="s">
        <v>20</v>
      </c>
      <c r="L158" s="1" t="s">
        <v>351</v>
      </c>
      <c r="M158" t="str">
        <f>IF(Fields[[#This Row],[Reference Entity]]&lt;&gt;"","t" &amp;Fields[[#This Row],[Reference Entity]],"")</f>
        <v>tPlanParameter</v>
      </c>
      <c r="N158" t="str">
        <f>IF(Fields[[#This Row],[Reference Entity]]&lt;&gt;"",RIGHT(Fields[[#This Row],[Column Name]],LEN(Fields[[#This Row],[Column Name]])-2),"")</f>
        <v>DepreciationTrigger</v>
      </c>
      <c r="P158" s="1"/>
      <c r="Q158" t="str">
        <f>Fields[[#This Row],[Column Name]]</f>
        <v>idDepreciationTrigger</v>
      </c>
      <c r="R158"/>
      <c r="S158"/>
      <c r="U158" t="s">
        <v>384</v>
      </c>
    </row>
    <row r="159" spans="1:22" x14ac:dyDescent="0.25">
      <c r="A159">
        <v>10</v>
      </c>
      <c r="B159" t="s">
        <v>653</v>
      </c>
      <c r="C159" t="s">
        <v>191</v>
      </c>
      <c r="D159" s="1" t="s">
        <v>657</v>
      </c>
      <c r="E159" t="s">
        <v>30</v>
      </c>
      <c r="F159" t="s">
        <v>4</v>
      </c>
      <c r="G159" s="2"/>
      <c r="I159">
        <v>0</v>
      </c>
      <c r="L159" s="1" t="s">
        <v>389</v>
      </c>
      <c r="M159" t="str">
        <f>IF(Fields[[#This Row],[Reference Entity]]&lt;&gt;"","t" &amp;Fields[[#This Row],[Reference Entity]],"")</f>
        <v/>
      </c>
      <c r="N159" t="str">
        <f>IF(Fields[[#This Row],[Reference Entity]]&lt;&gt;"",RIGHT(Fields[[#This Row],[Column Name]],LEN(Fields[[#This Row],[Column Name]])-2),"")</f>
        <v/>
      </c>
      <c r="P159" s="1"/>
      <c r="R159"/>
      <c r="S159"/>
    </row>
    <row r="160" spans="1:22" x14ac:dyDescent="0.25">
      <c r="A160">
        <v>11</v>
      </c>
      <c r="B160" t="s">
        <v>653</v>
      </c>
      <c r="C160" t="s">
        <v>56</v>
      </c>
      <c r="D160" s="1" t="s">
        <v>73</v>
      </c>
      <c r="E160" t="s">
        <v>498</v>
      </c>
      <c r="F160" t="s">
        <v>497</v>
      </c>
      <c r="G160" s="2"/>
      <c r="H160" t="s">
        <v>20</v>
      </c>
      <c r="L160" s="1" t="s">
        <v>343</v>
      </c>
      <c r="M160" t="str">
        <f>IF(Fields[[#This Row],[Reference Entity]]&lt;&gt;"","t" &amp;Fields[[#This Row],[Reference Entity]],"")</f>
        <v>tVATRule</v>
      </c>
      <c r="N160" t="str">
        <f>IF(Fields[[#This Row],[Reference Entity]]&lt;&gt;"",RIGHT(Fields[[#This Row],[Column Name]],LEN(Fields[[#This Row],[Column Name]])-2),"")</f>
        <v>VATRule</v>
      </c>
      <c r="P160" s="1"/>
      <c r="Q160" t="str">
        <f>Fields[[#This Row],[Column Name]]</f>
        <v>idVATRule</v>
      </c>
      <c r="R160"/>
      <c r="S160"/>
    </row>
    <row r="161" spans="1:22" ht="135" x14ac:dyDescent="0.25">
      <c r="A161">
        <v>12</v>
      </c>
      <c r="B161" t="s">
        <v>653</v>
      </c>
      <c r="C161" t="s">
        <v>467</v>
      </c>
      <c r="D161" s="1" t="s">
        <v>470</v>
      </c>
      <c r="E161" t="s">
        <v>498</v>
      </c>
      <c r="F161" t="s">
        <v>497</v>
      </c>
      <c r="G161" s="2"/>
      <c r="H161" t="s">
        <v>20</v>
      </c>
      <c r="L161" s="1" t="s">
        <v>457</v>
      </c>
      <c r="M161" t="str">
        <f>IF(Fields[[#This Row],[Reference Entity]]&lt;&gt;"","t" &amp;Fields[[#This Row],[Reference Entity]],"")</f>
        <v>tPlanInflationRule</v>
      </c>
      <c r="N161" t="str">
        <f>IF(Fields[[#This Row],[Reference Entity]]&lt;&gt;"",RIGHT(Fields[[#This Row],[Column Name]],LEN(Fields[[#This Row],[Column Name]])-2),"")</f>
        <v>InflationRule</v>
      </c>
      <c r="P161" s="1"/>
      <c r="Q161" t="str">
        <f>Fields[[#This Row],[Column Name]]</f>
        <v>idInflationRule</v>
      </c>
      <c r="R161"/>
      <c r="S161"/>
    </row>
    <row r="162" spans="1:22" ht="30" x14ac:dyDescent="0.25">
      <c r="A162">
        <v>13</v>
      </c>
      <c r="B162" t="s">
        <v>653</v>
      </c>
      <c r="C162" t="s">
        <v>136</v>
      </c>
      <c r="D162" s="1" t="s">
        <v>74</v>
      </c>
      <c r="E162" t="s">
        <v>498</v>
      </c>
      <c r="F162" t="s">
        <v>497</v>
      </c>
      <c r="G162" s="2"/>
      <c r="H162" t="s">
        <v>20</v>
      </c>
      <c r="L162" s="1" t="s">
        <v>351</v>
      </c>
      <c r="M162" t="str">
        <f>IF(Fields[[#This Row],[Reference Entity]]&lt;&gt;"","t" &amp;Fields[[#This Row],[Reference Entity]],"")</f>
        <v>tPlanParameter</v>
      </c>
      <c r="N162" t="str">
        <f>IF(Fields[[#This Row],[Reference Entity]]&lt;&gt;"",RIGHT(Fields[[#This Row],[Column Name]],LEN(Fields[[#This Row],[Column Name]])-2),"")</f>
        <v>ParPrice1</v>
      </c>
      <c r="P162" s="1"/>
      <c r="Q162" t="str">
        <f>Fields[[#This Row],[Column Name]]</f>
        <v>idParPrice1</v>
      </c>
      <c r="R162"/>
      <c r="S162"/>
      <c r="U162" t="s">
        <v>366</v>
      </c>
    </row>
    <row r="163" spans="1:22" ht="30" x14ac:dyDescent="0.25">
      <c r="A163">
        <v>14</v>
      </c>
      <c r="B163" t="s">
        <v>653</v>
      </c>
      <c r="C163" t="s">
        <v>137</v>
      </c>
      <c r="D163" s="1" t="s">
        <v>84</v>
      </c>
      <c r="E163" t="s">
        <v>498</v>
      </c>
      <c r="F163" t="s">
        <v>497</v>
      </c>
      <c r="G163" s="2"/>
      <c r="H163" t="s">
        <v>20</v>
      </c>
      <c r="L163" s="1" t="s">
        <v>351</v>
      </c>
      <c r="M163" t="str">
        <f>IF(Fields[[#This Row],[Reference Entity]]&lt;&gt;"","t" &amp;Fields[[#This Row],[Reference Entity]],"")</f>
        <v>tPlanParameter</v>
      </c>
      <c r="N163" t="str">
        <f>IF(Fields[[#This Row],[Reference Entity]]&lt;&gt;"",RIGHT(Fields[[#This Row],[Column Name]],LEN(Fields[[#This Row],[Column Name]])-2),"")</f>
        <v>ParPrice2</v>
      </c>
      <c r="P163" s="1"/>
      <c r="Q163" t="str">
        <f>Fields[[#This Row],[Column Name]]</f>
        <v>idParPrice2</v>
      </c>
      <c r="R163"/>
      <c r="S163"/>
      <c r="U163" t="s">
        <v>367</v>
      </c>
    </row>
    <row r="164" spans="1:22" ht="30" x14ac:dyDescent="0.25">
      <c r="A164">
        <v>16</v>
      </c>
      <c r="B164" t="s">
        <v>653</v>
      </c>
      <c r="C164" t="s">
        <v>55</v>
      </c>
      <c r="D164" s="1" t="s">
        <v>79</v>
      </c>
      <c r="E164" t="s">
        <v>30</v>
      </c>
      <c r="F164" t="s">
        <v>4</v>
      </c>
      <c r="G164" s="2"/>
      <c r="L164" s="1" t="s">
        <v>389</v>
      </c>
      <c r="M164" t="str">
        <f>IF(Fields[[#This Row],[Reference Entity]]&lt;&gt;"","t" &amp;Fields[[#This Row],[Reference Entity]],"")</f>
        <v/>
      </c>
      <c r="N164" t="str">
        <f>IF(Fields[[#This Row],[Reference Entity]]&lt;&gt;"",RIGHT(Fields[[#This Row],[Column Name]],LEN(Fields[[#This Row],[Column Name]])-2),"")</f>
        <v/>
      </c>
      <c r="P164" s="1"/>
      <c r="R164"/>
      <c r="S164"/>
    </row>
    <row r="165" spans="1:22" x14ac:dyDescent="0.25">
      <c r="A165">
        <v>17</v>
      </c>
      <c r="B165" t="s">
        <v>653</v>
      </c>
      <c r="C165" t="s">
        <v>57</v>
      </c>
      <c r="D165" s="1" t="s">
        <v>85</v>
      </c>
      <c r="E165" t="s">
        <v>30</v>
      </c>
      <c r="F165" t="s">
        <v>4</v>
      </c>
      <c r="G165" s="2"/>
      <c r="I165">
        <v>1</v>
      </c>
      <c r="L165" s="1" t="s">
        <v>389</v>
      </c>
      <c r="M165" t="str">
        <f>IF(Fields[[#This Row],[Reference Entity]]&lt;&gt;"","t" &amp;Fields[[#This Row],[Reference Entity]],"")</f>
        <v/>
      </c>
      <c r="N165" t="str">
        <f>IF(Fields[[#This Row],[Reference Entity]]&lt;&gt;"",RIGHT(Fields[[#This Row],[Column Name]],LEN(Fields[[#This Row],[Column Name]])-2),"")</f>
        <v/>
      </c>
      <c r="P165" s="1"/>
      <c r="R165"/>
      <c r="S165"/>
    </row>
    <row r="166" spans="1:22" ht="30" x14ac:dyDescent="0.25">
      <c r="A166">
        <v>18</v>
      </c>
      <c r="B166" t="s">
        <v>653</v>
      </c>
      <c r="C166" t="s">
        <v>68</v>
      </c>
      <c r="D166" s="1" t="s">
        <v>86</v>
      </c>
      <c r="E166" t="s">
        <v>60</v>
      </c>
      <c r="F166" t="s">
        <v>237</v>
      </c>
      <c r="G166" s="2"/>
      <c r="L166" s="1" t="s">
        <v>389</v>
      </c>
      <c r="M166" t="str">
        <f>IF(Fields[[#This Row],[Reference Entity]]&lt;&gt;"","t" &amp;Fields[[#This Row],[Reference Entity]],"")</f>
        <v/>
      </c>
      <c r="N166" t="str">
        <f>IF(Fields[[#This Row],[Reference Entity]]&lt;&gt;"",RIGHT(Fields[[#This Row],[Column Name]],LEN(Fields[[#This Row],[Column Name]])-2),"")</f>
        <v/>
      </c>
      <c r="P166" s="1"/>
      <c r="R166"/>
      <c r="S166"/>
    </row>
    <row r="167" spans="1:22" x14ac:dyDescent="0.25">
      <c r="A167">
        <v>19</v>
      </c>
      <c r="B167" t="s">
        <v>653</v>
      </c>
      <c r="C167" t="s">
        <v>58</v>
      </c>
      <c r="D167" s="1" t="s">
        <v>87</v>
      </c>
      <c r="E167" t="s">
        <v>17</v>
      </c>
      <c r="F167" t="s">
        <v>395</v>
      </c>
      <c r="G167" s="2"/>
      <c r="H167" t="s">
        <v>20</v>
      </c>
      <c r="L167" s="1" t="s">
        <v>389</v>
      </c>
      <c r="M167" t="str">
        <f>IF(Fields[[#This Row],[Reference Entity]]&lt;&gt;"","t" &amp;Fields[[#This Row],[Reference Entity]],"")</f>
        <v/>
      </c>
      <c r="N167" t="str">
        <f>IF(Fields[[#This Row],[Reference Entity]]&lt;&gt;"",RIGHT(Fields[[#This Row],[Column Name]],LEN(Fields[[#This Row],[Column Name]])-2),"")</f>
        <v/>
      </c>
      <c r="P167" s="1"/>
      <c r="R167"/>
      <c r="S167"/>
    </row>
    <row r="168" spans="1:22" x14ac:dyDescent="0.25">
      <c r="A168">
        <v>20</v>
      </c>
      <c r="B168" t="s">
        <v>653</v>
      </c>
      <c r="C168" t="s">
        <v>534</v>
      </c>
      <c r="D168" s="1" t="s">
        <v>578</v>
      </c>
      <c r="E168" t="s">
        <v>60</v>
      </c>
      <c r="F168" t="s">
        <v>237</v>
      </c>
      <c r="G168" s="2"/>
      <c r="L168" s="1" t="s">
        <v>389</v>
      </c>
      <c r="M168" t="str">
        <f>IF(Fields[[#This Row],[Reference Entity]]&lt;&gt;"","t" &amp;Fields[[#This Row],[Reference Entity]],"")</f>
        <v/>
      </c>
      <c r="N168" t="str">
        <f>IF(Fields[[#This Row],[Reference Entity]]&lt;&gt;"",RIGHT(Fields[[#This Row],[Column Name]],LEN(Fields[[#This Row],[Column Name]])-2),"")</f>
        <v/>
      </c>
      <c r="P168" s="1"/>
      <c r="R168"/>
      <c r="S168"/>
    </row>
    <row r="169" spans="1:22" ht="30" x14ac:dyDescent="0.25">
      <c r="A169">
        <v>21</v>
      </c>
      <c r="B169" t="s">
        <v>653</v>
      </c>
      <c r="C169" t="s">
        <v>509</v>
      </c>
      <c r="D169" s="1" t="s">
        <v>510</v>
      </c>
      <c r="E169" t="s">
        <v>498</v>
      </c>
      <c r="F169" t="s">
        <v>497</v>
      </c>
      <c r="G169" s="2"/>
      <c r="H169" t="s">
        <v>20</v>
      </c>
      <c r="L169" s="1" t="s">
        <v>351</v>
      </c>
      <c r="M169" t="str">
        <f>IF(Fields[[#This Row],[Reference Entity]]&lt;&gt;"","t" &amp;Fields[[#This Row],[Reference Entity]],"")</f>
        <v>tPlanParameter</v>
      </c>
      <c r="N169" t="str">
        <f>IF(Fields[[#This Row],[Reference Entity]]&lt;&gt;"",RIGHT(Fields[[#This Row],[Column Name]],LEN(Fields[[#This Row],[Column Name]])-2),"")</f>
        <v>ParContingencyRate</v>
      </c>
      <c r="P169" s="1"/>
      <c r="Q169" t="str">
        <f>Fields[[#This Row],[Column Name]]</f>
        <v>idParContingencyRate</v>
      </c>
      <c r="R169"/>
      <c r="S169"/>
      <c r="U169" t="s">
        <v>69</v>
      </c>
      <c r="V169" t="s">
        <v>476</v>
      </c>
    </row>
    <row r="170" spans="1:22" ht="75" x14ac:dyDescent="0.25">
      <c r="A170">
        <v>1</v>
      </c>
      <c r="B170" t="s">
        <v>712</v>
      </c>
      <c r="C170" t="s">
        <v>144</v>
      </c>
      <c r="D170" s="1" t="s">
        <v>145</v>
      </c>
      <c r="E170" t="s">
        <v>498</v>
      </c>
      <c r="F170" t="s">
        <v>497</v>
      </c>
      <c r="G170" s="2"/>
      <c r="L170" s="1" t="s">
        <v>350</v>
      </c>
      <c r="M170" t="str">
        <f>IF(Fields[[#This Row],[Reference Entity]]&lt;&gt;"","t" &amp;Fields[[#This Row],[Reference Entity]],"")</f>
        <v>tPlanElementInstance</v>
      </c>
      <c r="N170" t="str">
        <f>IF(Fields[[#This Row],[Reference Entity]]&lt;&gt;"",RIGHT(Fields[[#This Row],[Column Name]],LEN(Fields[[#This Row],[Column Name]])-2),"")</f>
        <v>PlanInstance</v>
      </c>
      <c r="O170" t="s">
        <v>143</v>
      </c>
      <c r="P170" s="1"/>
      <c r="Q170" t="str">
        <f>Fields[[#This Row],[Column Name]]</f>
        <v>idPlanInstance</v>
      </c>
      <c r="T170" s="1"/>
      <c r="U170" s="1"/>
      <c r="V170" t="s">
        <v>476</v>
      </c>
    </row>
    <row r="171" spans="1:22" ht="135" x14ac:dyDescent="0.25">
      <c r="A171">
        <v>2</v>
      </c>
      <c r="B171" t="s">
        <v>712</v>
      </c>
      <c r="C171" t="s">
        <v>467</v>
      </c>
      <c r="D171" s="1" t="s">
        <v>470</v>
      </c>
      <c r="E171" t="s">
        <v>498</v>
      </c>
      <c r="F171" t="s">
        <v>497</v>
      </c>
      <c r="G171" s="2"/>
      <c r="H171" t="s">
        <v>20</v>
      </c>
      <c r="L171" s="1" t="s">
        <v>457</v>
      </c>
      <c r="M171" t="str">
        <f>IF(Fields[[#This Row],[Reference Entity]]&lt;&gt;"","t" &amp;Fields[[#This Row],[Reference Entity]],"")</f>
        <v>tPlanInflationRule</v>
      </c>
      <c r="N171" t="str">
        <f>IF(Fields[[#This Row],[Reference Entity]]&lt;&gt;"",RIGHT(Fields[[#This Row],[Column Name]],LEN(Fields[[#This Row],[Column Name]])-2),"")</f>
        <v>InflationRule</v>
      </c>
      <c r="P171" s="1"/>
      <c r="Q171" t="str">
        <f>Fields[[#This Row],[Column Name]]</f>
        <v>idInflationRule</v>
      </c>
      <c r="T171" s="1"/>
      <c r="U171" s="1"/>
      <c r="V171" t="s">
        <v>476</v>
      </c>
    </row>
    <row r="172" spans="1:22" x14ac:dyDescent="0.25">
      <c r="A172">
        <v>3</v>
      </c>
      <c r="B172" t="s">
        <v>712</v>
      </c>
      <c r="C172" t="s">
        <v>662</v>
      </c>
      <c r="D172" s="1" t="s">
        <v>666</v>
      </c>
      <c r="E172" t="s">
        <v>498</v>
      </c>
      <c r="F172" t="s">
        <v>497</v>
      </c>
      <c r="G172" s="2"/>
      <c r="L172" s="1" t="s">
        <v>705</v>
      </c>
      <c r="M172" t="str">
        <f>IF(Fields[[#This Row],[Reference Entity]]&lt;&gt;"","t" &amp;Fields[[#This Row],[Reference Entity]],"")</f>
        <v>tPlanHRTariff</v>
      </c>
      <c r="N172" t="str">
        <f>IF(Fields[[#This Row],[Reference Entity]]&lt;&gt;"",RIGHT(Fields[[#This Row],[Column Name]],LEN(Fields[[#This Row],[Column Name]])-2),"")</f>
        <v>Tariff</v>
      </c>
      <c r="P172" s="1"/>
      <c r="Q172" t="str">
        <f>Fields[[#This Row],[Column Name]]</f>
        <v>idTariff</v>
      </c>
      <c r="T172" s="1"/>
      <c r="U172" s="1"/>
      <c r="V172" t="s">
        <v>476</v>
      </c>
    </row>
    <row r="173" spans="1:22" x14ac:dyDescent="0.25">
      <c r="A173">
        <v>4</v>
      </c>
      <c r="B173" t="s">
        <v>712</v>
      </c>
      <c r="C173" t="s">
        <v>722</v>
      </c>
      <c r="D173" s="1" t="s">
        <v>667</v>
      </c>
      <c r="E173" t="s">
        <v>498</v>
      </c>
      <c r="F173" t="s">
        <v>497</v>
      </c>
      <c r="G173" s="2"/>
      <c r="L173" s="1" t="s">
        <v>723</v>
      </c>
      <c r="M173" t="str">
        <f>IF(Fields[[#This Row],[Reference Entity]]&lt;&gt;"","t" &amp;Fields[[#This Row],[Reference Entity]],"")</f>
        <v>tPlanHRExpenseGroup</v>
      </c>
      <c r="N173" t="str">
        <f>IF(Fields[[#This Row],[Reference Entity]]&lt;&gt;"",RIGHT(Fields[[#This Row],[Column Name]],LEN(Fields[[#This Row],[Column Name]])-2),"")</f>
        <v>ExpenseGroup</v>
      </c>
      <c r="P173" s="1"/>
      <c r="Q173" t="str">
        <f>Fields[[#This Row],[Column Name]]</f>
        <v>idExpenseGroup</v>
      </c>
      <c r="T173" s="1"/>
      <c r="U173" s="1"/>
      <c r="V173" t="s">
        <v>476</v>
      </c>
    </row>
    <row r="174" spans="1:22" x14ac:dyDescent="0.25">
      <c r="A174">
        <v>5</v>
      </c>
      <c r="B174" t="s">
        <v>712</v>
      </c>
      <c r="C174" t="s">
        <v>663</v>
      </c>
      <c r="D174" s="1" t="s">
        <v>668</v>
      </c>
      <c r="E174" t="s">
        <v>19</v>
      </c>
      <c r="F174" t="s">
        <v>242</v>
      </c>
      <c r="G174" s="2">
        <v>50</v>
      </c>
      <c r="H174" t="s">
        <v>20</v>
      </c>
      <c r="L174" s="1"/>
      <c r="M174" t="str">
        <f>IF(Fields[[#This Row],[Reference Entity]]&lt;&gt;"","t" &amp;Fields[[#This Row],[Reference Entity]],"")</f>
        <v/>
      </c>
      <c r="P174" s="1"/>
      <c r="T174" s="1"/>
      <c r="U174" s="1"/>
      <c r="V174" t="s">
        <v>476</v>
      </c>
    </row>
    <row r="175" spans="1:22" x14ac:dyDescent="0.25">
      <c r="A175">
        <v>6</v>
      </c>
      <c r="B175" t="s">
        <v>712</v>
      </c>
      <c r="C175" t="s">
        <v>665</v>
      </c>
      <c r="D175" s="1" t="s">
        <v>669</v>
      </c>
      <c r="E175" t="s">
        <v>19</v>
      </c>
      <c r="F175" t="s">
        <v>242</v>
      </c>
      <c r="G175" s="2">
        <v>50</v>
      </c>
      <c r="H175" t="s">
        <v>20</v>
      </c>
      <c r="L175" s="1"/>
      <c r="M175" t="str">
        <f>IF(Fields[[#This Row],[Reference Entity]]&lt;&gt;"","t" &amp;Fields[[#This Row],[Reference Entity]],"")</f>
        <v/>
      </c>
      <c r="P175" s="1"/>
      <c r="T175" s="1"/>
      <c r="U175" s="1"/>
      <c r="V175" t="s">
        <v>476</v>
      </c>
    </row>
    <row r="176" spans="1:22" x14ac:dyDescent="0.25">
      <c r="A176">
        <v>1</v>
      </c>
      <c r="B176" t="s">
        <v>117</v>
      </c>
      <c r="C176" t="s">
        <v>59</v>
      </c>
      <c r="D176" s="1" t="s">
        <v>141</v>
      </c>
      <c r="E176" t="s">
        <v>498</v>
      </c>
      <c r="F176" t="s">
        <v>497</v>
      </c>
      <c r="G176" s="2"/>
      <c r="L176" s="1" t="s">
        <v>347</v>
      </c>
      <c r="M176" t="str">
        <f>IF(Fields[[#This Row],[Reference Entity]]&lt;&gt;"","t" &amp;Fields[[#This Row],[Reference Entity]],"")</f>
        <v>tPlanElement</v>
      </c>
      <c r="N176" t="str">
        <f>IF(Fields[[#This Row],[Reference Entity]]&lt;&gt;"",RIGHT(Fields[[#This Row],[Column Name]],LEN(Fields[[#This Row],[Column Name]])-2),"")</f>
        <v>PlanElement</v>
      </c>
      <c r="P176" s="1"/>
      <c r="Q176" t="str">
        <f>Fields[[#This Row],[Column Name]]</f>
        <v>idPlanElement</v>
      </c>
      <c r="R176"/>
      <c r="S176"/>
      <c r="V176" s="1"/>
    </row>
    <row r="177" spans="1:22" x14ac:dyDescent="0.25">
      <c r="A177">
        <v>2</v>
      </c>
      <c r="B177" t="s">
        <v>117</v>
      </c>
      <c r="C177" t="s">
        <v>53</v>
      </c>
      <c r="D177" s="1" t="s">
        <v>430</v>
      </c>
      <c r="E177" t="s">
        <v>498</v>
      </c>
      <c r="F177" t="s">
        <v>497</v>
      </c>
      <c r="G177" s="2"/>
      <c r="L177" s="1" t="s">
        <v>346</v>
      </c>
      <c r="M177" t="str">
        <f>IF(Fields[[#This Row],[Reference Entity]]&lt;&gt;"","t" &amp;Fields[[#This Row],[Reference Entity]],"")</f>
        <v>tPlan</v>
      </c>
      <c r="N177" t="str">
        <f>IF(Fields[[#This Row],[Reference Entity]]&lt;&gt;"",RIGHT(Fields[[#This Row],[Column Name]],LEN(Fields[[#This Row],[Column Name]])-2),"")</f>
        <v>Plan</v>
      </c>
      <c r="O177" t="s">
        <v>143</v>
      </c>
      <c r="P177" s="1"/>
      <c r="Q177" t="str">
        <f>Fields[[#This Row],[Column Name]]</f>
        <v>idPlan</v>
      </c>
      <c r="R177"/>
      <c r="S177"/>
      <c r="V177" s="1"/>
    </row>
    <row r="178" spans="1:22" x14ac:dyDescent="0.25">
      <c r="A178">
        <v>3</v>
      </c>
      <c r="B178" t="s">
        <v>117</v>
      </c>
      <c r="C178" t="s">
        <v>743</v>
      </c>
      <c r="D178" s="1"/>
      <c r="E178" t="s">
        <v>18</v>
      </c>
      <c r="F178" t="s">
        <v>6</v>
      </c>
      <c r="G178" s="2"/>
      <c r="I178">
        <v>0</v>
      </c>
      <c r="L178" s="1"/>
      <c r="M178" t="str">
        <f>IF(Fields[[#This Row],[Reference Entity]]&lt;&gt;"","t" &amp;Fields[[#This Row],[Reference Entity]],"")</f>
        <v/>
      </c>
      <c r="P178" s="1"/>
      <c r="R178"/>
      <c r="S178"/>
      <c r="V178" s="1"/>
    </row>
    <row r="179" spans="1:22" ht="30" x14ac:dyDescent="0.25">
      <c r="A179">
        <v>4</v>
      </c>
      <c r="B179" t="s">
        <v>117</v>
      </c>
      <c r="C179" s="9" t="s">
        <v>530</v>
      </c>
      <c r="D179" s="1" t="s">
        <v>47</v>
      </c>
      <c r="E179" t="s">
        <v>18</v>
      </c>
      <c r="F179" t="s">
        <v>6</v>
      </c>
      <c r="G179" s="2"/>
      <c r="I179">
        <v>0</v>
      </c>
      <c r="L179" s="1" t="s">
        <v>389</v>
      </c>
      <c r="M179" t="str">
        <f>IF(Fields[[#This Row],[Reference Entity]]&lt;&gt;"","t" &amp;Fields[[#This Row],[Reference Entity]],"")</f>
        <v/>
      </c>
      <c r="N179" t="str">
        <f>IF(Fields[[#This Row],[Reference Entity]]&lt;&gt;"",RIGHT(Fields[[#This Row],[Column Name]],LEN(Fields[[#This Row],[Column Name]])-2),"")</f>
        <v/>
      </c>
      <c r="P179" s="1" t="s">
        <v>49</v>
      </c>
      <c r="T179" s="1"/>
      <c r="U179" s="1"/>
      <c r="V179" t="s">
        <v>476</v>
      </c>
    </row>
    <row r="180" spans="1:22" ht="30" x14ac:dyDescent="0.25">
      <c r="A180">
        <v>5</v>
      </c>
      <c r="B180" t="s">
        <v>117</v>
      </c>
      <c r="C180" s="9" t="s">
        <v>70</v>
      </c>
      <c r="D180" s="1" t="s">
        <v>76</v>
      </c>
      <c r="E180" t="s">
        <v>18</v>
      </c>
      <c r="F180" t="s">
        <v>6</v>
      </c>
      <c r="G180" s="2"/>
      <c r="I180">
        <v>1</v>
      </c>
      <c r="L180" s="1" t="s">
        <v>389</v>
      </c>
      <c r="M180" t="str">
        <f>IF(Fields[[#This Row],[Reference Entity]]&lt;&gt;"","t" &amp;Fields[[#This Row],[Reference Entity]],"")</f>
        <v/>
      </c>
      <c r="N180" t="str">
        <f>IF(Fields[[#This Row],[Reference Entity]]&lt;&gt;"",RIGHT(Fields[[#This Row],[Column Name]],LEN(Fields[[#This Row],[Column Name]])-2),"")</f>
        <v/>
      </c>
      <c r="P180" s="1"/>
      <c r="T180" s="1"/>
      <c r="U180" s="1"/>
      <c r="V180" t="s">
        <v>476</v>
      </c>
    </row>
    <row r="181" spans="1:22" ht="45" x14ac:dyDescent="0.25">
      <c r="A181">
        <v>6</v>
      </c>
      <c r="B181" t="s">
        <v>117</v>
      </c>
      <c r="C181" s="9" t="s">
        <v>80</v>
      </c>
      <c r="D181" s="1" t="s">
        <v>77</v>
      </c>
      <c r="E181" t="s">
        <v>30</v>
      </c>
      <c r="F181" t="s">
        <v>4</v>
      </c>
      <c r="G181" s="2"/>
      <c r="I181">
        <v>0</v>
      </c>
      <c r="L181" s="1" t="s">
        <v>389</v>
      </c>
      <c r="M181" t="str">
        <f>IF(Fields[[#This Row],[Reference Entity]]&lt;&gt;"","t" &amp;Fields[[#This Row],[Reference Entity]],"")</f>
        <v/>
      </c>
      <c r="N181" t="str">
        <f>IF(Fields[[#This Row],[Reference Entity]]&lt;&gt;"",RIGHT(Fields[[#This Row],[Column Name]],LEN(Fields[[#This Row],[Column Name]])-2),"")</f>
        <v/>
      </c>
      <c r="P181" s="1"/>
      <c r="T181" s="1"/>
      <c r="U181" s="1"/>
      <c r="V181" t="s">
        <v>476</v>
      </c>
    </row>
    <row r="182" spans="1:22" x14ac:dyDescent="0.25">
      <c r="A182">
        <v>7</v>
      </c>
      <c r="B182" t="s">
        <v>117</v>
      </c>
      <c r="C182" s="9" t="s">
        <v>81</v>
      </c>
      <c r="D182" s="1" t="s">
        <v>83</v>
      </c>
      <c r="E182" t="s">
        <v>30</v>
      </c>
      <c r="F182" t="s">
        <v>4</v>
      </c>
      <c r="G182" s="2"/>
      <c r="I182">
        <v>0</v>
      </c>
      <c r="L182" s="1" t="s">
        <v>389</v>
      </c>
      <c r="M182" t="str">
        <f>IF(Fields[[#This Row],[Reference Entity]]&lt;&gt;"","t" &amp;Fields[[#This Row],[Reference Entity]],"")</f>
        <v/>
      </c>
      <c r="N182" t="str">
        <f>IF(Fields[[#This Row],[Reference Entity]]&lt;&gt;"",RIGHT(Fields[[#This Row],[Column Name]],LEN(Fields[[#This Row],[Column Name]])-2),"")</f>
        <v/>
      </c>
      <c r="P182" s="1"/>
      <c r="T182" s="1"/>
      <c r="U182" s="1"/>
      <c r="V182" t="s">
        <v>476</v>
      </c>
    </row>
    <row r="183" spans="1:22" x14ac:dyDescent="0.25">
      <c r="A183">
        <v>8</v>
      </c>
      <c r="B183" t="s">
        <v>117</v>
      </c>
      <c r="C183" s="9" t="s">
        <v>82</v>
      </c>
      <c r="D183" s="1" t="s">
        <v>83</v>
      </c>
      <c r="E183" t="s">
        <v>30</v>
      </c>
      <c r="F183" t="s">
        <v>4</v>
      </c>
      <c r="G183" s="2"/>
      <c r="I183">
        <v>0</v>
      </c>
      <c r="L183" s="1" t="s">
        <v>389</v>
      </c>
      <c r="M183" t="str">
        <f>IF(Fields[[#This Row],[Reference Entity]]&lt;&gt;"","t" &amp;Fields[[#This Row],[Reference Entity]],"")</f>
        <v/>
      </c>
      <c r="N183" t="str">
        <f>IF(Fields[[#This Row],[Reference Entity]]&lt;&gt;"",RIGHT(Fields[[#This Row],[Column Name]],LEN(Fields[[#This Row],[Column Name]])-2),"")</f>
        <v/>
      </c>
      <c r="P183" s="1"/>
      <c r="T183" s="1"/>
      <c r="U183" s="1"/>
      <c r="V183" t="s">
        <v>476</v>
      </c>
    </row>
    <row r="184" spans="1:22" ht="30" x14ac:dyDescent="0.25">
      <c r="A184">
        <v>9</v>
      </c>
      <c r="B184" t="s">
        <v>117</v>
      </c>
      <c r="C184" s="9" t="s">
        <v>531</v>
      </c>
      <c r="D184" s="1" t="s">
        <v>450</v>
      </c>
      <c r="E184" t="s">
        <v>30</v>
      </c>
      <c r="F184" t="s">
        <v>4</v>
      </c>
      <c r="G184" s="2"/>
      <c r="H184" t="s">
        <v>20</v>
      </c>
      <c r="L184" s="1" t="s">
        <v>389</v>
      </c>
      <c r="M184" t="str">
        <f>IF(Fields[[#This Row],[Reference Entity]]&lt;&gt;"","t" &amp;Fields[[#This Row],[Reference Entity]],"")</f>
        <v/>
      </c>
      <c r="N184" t="str">
        <f>IF(Fields[[#This Row],[Reference Entity]]&lt;&gt;"",RIGHT(Fields[[#This Row],[Column Name]],LEN(Fields[[#This Row],[Column Name]])-2),"")</f>
        <v/>
      </c>
      <c r="P184" s="1"/>
      <c r="T184" s="1"/>
      <c r="U184" s="1"/>
      <c r="V184" t="s">
        <v>476</v>
      </c>
    </row>
    <row r="185" spans="1:22" x14ac:dyDescent="0.25">
      <c r="A185">
        <v>10</v>
      </c>
      <c r="B185" t="s">
        <v>117</v>
      </c>
      <c r="C185" s="9" t="s">
        <v>532</v>
      </c>
      <c r="D185" s="1" t="s">
        <v>78</v>
      </c>
      <c r="E185" t="s">
        <v>30</v>
      </c>
      <c r="F185" t="s">
        <v>4</v>
      </c>
      <c r="G185" s="2"/>
      <c r="H185" t="s">
        <v>20</v>
      </c>
      <c r="L185" s="1" t="s">
        <v>389</v>
      </c>
      <c r="M185" t="str">
        <f>IF(Fields[[#This Row],[Reference Entity]]&lt;&gt;"","t" &amp;Fields[[#This Row],[Reference Entity]],"")</f>
        <v/>
      </c>
      <c r="N185" t="str">
        <f>IF(Fields[[#This Row],[Reference Entity]]&lt;&gt;"",RIGHT(Fields[[#This Row],[Column Name]],LEN(Fields[[#This Row],[Column Name]])-2),"")</f>
        <v/>
      </c>
      <c r="P185" s="1"/>
      <c r="T185" s="1"/>
      <c r="U185" s="1"/>
      <c r="V185" t="s">
        <v>476</v>
      </c>
    </row>
    <row r="186" spans="1:22" x14ac:dyDescent="0.25">
      <c r="A186">
        <v>11</v>
      </c>
      <c r="B186" t="s">
        <v>117</v>
      </c>
      <c r="C186" s="9" t="s">
        <v>533</v>
      </c>
      <c r="D186" s="1" t="s">
        <v>78</v>
      </c>
      <c r="E186" t="s">
        <v>30</v>
      </c>
      <c r="F186" t="s">
        <v>4</v>
      </c>
      <c r="G186" s="2"/>
      <c r="H186" t="s">
        <v>20</v>
      </c>
      <c r="L186" s="1" t="s">
        <v>389</v>
      </c>
      <c r="M186" t="str">
        <f>IF(Fields[[#This Row],[Reference Entity]]&lt;&gt;"","t" &amp;Fields[[#This Row],[Reference Entity]],"")</f>
        <v/>
      </c>
      <c r="N186" t="str">
        <f>IF(Fields[[#This Row],[Reference Entity]]&lt;&gt;"",RIGHT(Fields[[#This Row],[Column Name]],LEN(Fields[[#This Row],[Column Name]])-2),"")</f>
        <v/>
      </c>
      <c r="P186" s="1"/>
      <c r="T186" s="1"/>
      <c r="U186" s="1"/>
      <c r="V186" t="s">
        <v>476</v>
      </c>
    </row>
    <row r="187" spans="1:22" ht="30" x14ac:dyDescent="0.25">
      <c r="A187">
        <v>12</v>
      </c>
      <c r="B187" t="s">
        <v>117</v>
      </c>
      <c r="C187" s="9" t="s">
        <v>535</v>
      </c>
      <c r="D187" s="1" t="s">
        <v>75</v>
      </c>
      <c r="E187" t="s">
        <v>498</v>
      </c>
      <c r="F187" t="s">
        <v>497</v>
      </c>
      <c r="G187" s="2"/>
      <c r="H187" t="s">
        <v>20</v>
      </c>
      <c r="L187" s="1" t="s">
        <v>351</v>
      </c>
      <c r="M187" t="str">
        <f>IF(Fields[[#This Row],[Reference Entity]]&lt;&gt;"","t" &amp;Fields[[#This Row],[Reference Entity]],"")</f>
        <v>tPlanParameter</v>
      </c>
      <c r="N187" t="str">
        <f>IF(Fields[[#This Row],[Reference Entity]]&lt;&gt;"",RIGHT(Fields[[#This Row],[Column Name]],LEN(Fields[[#This Row],[Column Name]])-2),"")</f>
        <v>ParTriggerDueDate</v>
      </c>
      <c r="P187" s="1"/>
      <c r="Q187" t="str">
        <f>Fields[[#This Row],[Column Name]]</f>
        <v>idParTriggerDueDate</v>
      </c>
      <c r="T187" s="1"/>
      <c r="U187" s="1" t="s">
        <v>385</v>
      </c>
      <c r="V187" t="s">
        <v>476</v>
      </c>
    </row>
    <row r="188" spans="1:22" ht="30" x14ac:dyDescent="0.25">
      <c r="A188">
        <v>13</v>
      </c>
      <c r="B188" t="s">
        <v>117</v>
      </c>
      <c r="C188" s="9" t="s">
        <v>61</v>
      </c>
      <c r="D188" s="1" t="s">
        <v>88</v>
      </c>
      <c r="E188" t="s">
        <v>45</v>
      </c>
      <c r="F188" t="s">
        <v>242</v>
      </c>
      <c r="G188" s="2" t="s">
        <v>241</v>
      </c>
      <c r="H188" t="s">
        <v>20</v>
      </c>
      <c r="L188" s="1" t="s">
        <v>389</v>
      </c>
      <c r="M188" t="str">
        <f>IF(Fields[[#This Row],[Reference Entity]]&lt;&gt;"","t" &amp;Fields[[#This Row],[Reference Entity]],"")</f>
        <v/>
      </c>
      <c r="N188" t="str">
        <f>IF(Fields[[#This Row],[Reference Entity]]&lt;&gt;"",RIGHT(Fields[[#This Row],[Column Name]],LEN(Fields[[#This Row],[Column Name]])-2),"")</f>
        <v/>
      </c>
      <c r="P188" s="1"/>
      <c r="T188" s="1"/>
      <c r="U188" s="1"/>
      <c r="V188" t="s">
        <v>476</v>
      </c>
    </row>
    <row r="189" spans="1:22" x14ac:dyDescent="0.25">
      <c r="A189">
        <v>14</v>
      </c>
      <c r="B189" t="s">
        <v>117</v>
      </c>
      <c r="C189" s="9" t="s">
        <v>62</v>
      </c>
      <c r="D189" s="1" t="s">
        <v>89</v>
      </c>
      <c r="E189" t="s">
        <v>45</v>
      </c>
      <c r="F189" t="s">
        <v>242</v>
      </c>
      <c r="G189" s="2" t="s">
        <v>241</v>
      </c>
      <c r="H189" t="s">
        <v>20</v>
      </c>
      <c r="L189" s="1" t="s">
        <v>389</v>
      </c>
      <c r="M189" t="str">
        <f>IF(Fields[[#This Row],[Reference Entity]]&lt;&gt;"","t" &amp;Fields[[#This Row],[Reference Entity]],"")</f>
        <v/>
      </c>
      <c r="N189" t="str">
        <f>IF(Fields[[#This Row],[Reference Entity]]&lt;&gt;"",RIGHT(Fields[[#This Row],[Column Name]],LEN(Fields[[#This Row],[Column Name]])-2),"")</f>
        <v/>
      </c>
      <c r="P189" s="1"/>
      <c r="T189" s="1"/>
      <c r="U189" s="1"/>
      <c r="V189" t="s">
        <v>476</v>
      </c>
    </row>
    <row r="190" spans="1:22" x14ac:dyDescent="0.25">
      <c r="A190">
        <v>1</v>
      </c>
      <c r="B190" t="s">
        <v>15</v>
      </c>
      <c r="C190" t="s">
        <v>29</v>
      </c>
      <c r="D190" s="1" t="s">
        <v>32</v>
      </c>
      <c r="E190" t="s">
        <v>30</v>
      </c>
      <c r="F190" t="s">
        <v>4</v>
      </c>
      <c r="G190" s="2"/>
      <c r="L190" s="1" t="s">
        <v>389</v>
      </c>
      <c r="M190" t="str">
        <f>IF(Fields[[#This Row],[Reference Entity]]&lt;&gt;"","t" &amp;Fields[[#This Row],[Reference Entity]],"")</f>
        <v/>
      </c>
      <c r="N190" t="str">
        <f>IF(Fields[[#This Row],[Reference Entity]]&lt;&gt;"",RIGHT(Fields[[#This Row],[Column Name]],LEN(Fields[[#This Row],[Column Name]])-2),"")</f>
        <v/>
      </c>
      <c r="P190" s="1"/>
      <c r="R190"/>
      <c r="S190"/>
    </row>
    <row r="191" spans="1:22" x14ac:dyDescent="0.25">
      <c r="A191">
        <v>2</v>
      </c>
      <c r="B191" t="s">
        <v>15</v>
      </c>
      <c r="C191" t="s">
        <v>455</v>
      </c>
      <c r="D191" s="1" t="s">
        <v>33</v>
      </c>
      <c r="E191" t="s">
        <v>19</v>
      </c>
      <c r="F191" t="s">
        <v>242</v>
      </c>
      <c r="G191" s="2">
        <v>20</v>
      </c>
      <c r="L191" s="1" t="s">
        <v>389</v>
      </c>
      <c r="M191" t="str">
        <f>IF(Fields[[#This Row],[Reference Entity]]&lt;&gt;"","t" &amp;Fields[[#This Row],[Reference Entity]],"")</f>
        <v/>
      </c>
      <c r="N191" t="str">
        <f>IF(Fields[[#This Row],[Reference Entity]]&lt;&gt;"",RIGHT(Fields[[#This Row],[Column Name]],LEN(Fields[[#This Row],[Column Name]])-2),"")</f>
        <v/>
      </c>
      <c r="P191" s="1"/>
      <c r="R191"/>
      <c r="S191"/>
      <c r="V191" t="s">
        <v>456</v>
      </c>
    </row>
    <row r="192" spans="1:22" x14ac:dyDescent="0.25">
      <c r="A192">
        <v>1</v>
      </c>
      <c r="B192" t="s">
        <v>40</v>
      </c>
      <c r="C192" t="s">
        <v>5</v>
      </c>
      <c r="D192" s="1" t="s">
        <v>10</v>
      </c>
      <c r="E192" t="s">
        <v>498</v>
      </c>
      <c r="F192" t="s">
        <v>497</v>
      </c>
      <c r="G192" s="2"/>
      <c r="L192" s="1" t="s">
        <v>148</v>
      </c>
      <c r="M192" t="str">
        <f>IF(Fields[[#This Row],[Reference Entity]]&lt;&gt;"","t" &amp;Fields[[#This Row],[Reference Entity]],"")</f>
        <v>tClient</v>
      </c>
      <c r="N192" t="str">
        <f>IF(Fields[[#This Row],[Reference Entity]]&lt;&gt;"",RIGHT(Fields[[#This Row],[Column Name]],LEN(Fields[[#This Row],[Column Name]])-2),"")</f>
        <v>Client</v>
      </c>
      <c r="O192" t="s">
        <v>143</v>
      </c>
      <c r="P192" s="1"/>
      <c r="Q192" t="str">
        <f>Fields[[#This Row],[Column Name]]</f>
        <v>idClient</v>
      </c>
      <c r="R192"/>
      <c r="S192"/>
    </row>
    <row r="193" spans="1:22" x14ac:dyDescent="0.25">
      <c r="A193">
        <v>2</v>
      </c>
      <c r="B193" t="s">
        <v>40</v>
      </c>
      <c r="C193" t="s">
        <v>314</v>
      </c>
      <c r="D193" s="1" t="s">
        <v>43</v>
      </c>
      <c r="E193" t="s">
        <v>19</v>
      </c>
      <c r="F193" t="s">
        <v>242</v>
      </c>
      <c r="G193" s="2">
        <v>30</v>
      </c>
      <c r="L193" s="1" t="s">
        <v>389</v>
      </c>
      <c r="M193" t="str">
        <f>IF(Fields[[#This Row],[Reference Entity]]&lt;&gt;"","t" &amp;Fields[[#This Row],[Reference Entity]],"")</f>
        <v/>
      </c>
      <c r="N193" t="str">
        <f>IF(Fields[[#This Row],[Reference Entity]]&lt;&gt;"",RIGHT(Fields[[#This Row],[Column Name]],LEN(Fields[[#This Row],[Column Name]])-2),"")</f>
        <v/>
      </c>
      <c r="P193" s="1"/>
      <c r="R193"/>
      <c r="S193"/>
    </row>
    <row r="194" spans="1:22" x14ac:dyDescent="0.25">
      <c r="A194">
        <v>3</v>
      </c>
      <c r="B194" t="s">
        <v>40</v>
      </c>
      <c r="C194" t="s">
        <v>580</v>
      </c>
      <c r="D194" s="1"/>
      <c r="E194" t="s">
        <v>19</v>
      </c>
      <c r="F194" t="s">
        <v>242</v>
      </c>
      <c r="G194" s="2">
        <v>30</v>
      </c>
      <c r="H194" t="s">
        <v>20</v>
      </c>
      <c r="L194" s="1"/>
      <c r="M194" t="str">
        <f>IF(Fields[[#This Row],[Reference Entity]]&lt;&gt;"","t" &amp;Fields[[#This Row],[Reference Entity]],"")</f>
        <v/>
      </c>
      <c r="P194" s="1"/>
      <c r="R194"/>
      <c r="S194"/>
    </row>
    <row r="195" spans="1:22" x14ac:dyDescent="0.25">
      <c r="A195">
        <v>4</v>
      </c>
      <c r="B195" t="s">
        <v>40</v>
      </c>
      <c r="C195" t="s">
        <v>591</v>
      </c>
      <c r="D195" s="1" t="s">
        <v>579</v>
      </c>
      <c r="E195" t="s">
        <v>45</v>
      </c>
      <c r="F195" t="s">
        <v>242</v>
      </c>
      <c r="G195" s="2" t="s">
        <v>241</v>
      </c>
      <c r="H195" t="s">
        <v>20</v>
      </c>
      <c r="L195" s="1"/>
      <c r="M195" t="str">
        <f>IF(Fields[[#This Row],[Reference Entity]]&lt;&gt;"","t" &amp;Fields[[#This Row],[Reference Entity]],"")</f>
        <v/>
      </c>
      <c r="P195" s="1"/>
      <c r="R195"/>
      <c r="S195"/>
    </row>
    <row r="196" spans="1:22" ht="30" x14ac:dyDescent="0.25">
      <c r="A196">
        <v>1</v>
      </c>
      <c r="B196" t="s">
        <v>710</v>
      </c>
      <c r="C196" t="s">
        <v>722</v>
      </c>
      <c r="D196" s="1" t="s">
        <v>704</v>
      </c>
      <c r="E196" t="s">
        <v>498</v>
      </c>
      <c r="F196" t="s">
        <v>497</v>
      </c>
      <c r="G196" s="2"/>
      <c r="L196" s="1" t="s">
        <v>723</v>
      </c>
      <c r="M196" t="str">
        <f>IF(Fields[[#This Row],[Reference Entity]]&lt;&gt;"","t" &amp;Fields[[#This Row],[Reference Entity]],"")</f>
        <v>tPlanHRExpenseGroup</v>
      </c>
      <c r="N196" t="str">
        <f>IF(Fields[[#This Row],[Reference Entity]]&lt;&gt;"",RIGHT(Fields[[#This Row],[Column Name]],LEN(Fields[[#This Row],[Column Name]])-2),"")</f>
        <v>ExpenseGroup</v>
      </c>
      <c r="P196" s="1"/>
      <c r="T196" s="1"/>
      <c r="U196" s="1"/>
    </row>
    <row r="197" spans="1:22" x14ac:dyDescent="0.25">
      <c r="A197" s="10">
        <v>2</v>
      </c>
      <c r="B197" s="13" t="s">
        <v>710</v>
      </c>
      <c r="C197" s="10" t="s">
        <v>285</v>
      </c>
      <c r="D197" s="11" t="s">
        <v>725</v>
      </c>
      <c r="E197" s="10" t="s">
        <v>17</v>
      </c>
      <c r="F197" s="10" t="s">
        <v>395</v>
      </c>
      <c r="G197" s="12"/>
      <c r="H197" s="10" t="s">
        <v>20</v>
      </c>
      <c r="I197" s="10"/>
      <c r="J197" s="10"/>
      <c r="K197" s="11"/>
      <c r="L197" s="11"/>
      <c r="M197" t="str">
        <f>IF(Fields[[#This Row],[Reference Entity]]&lt;&gt;"","t" &amp;Fields[[#This Row],[Reference Entity]],"")</f>
        <v/>
      </c>
      <c r="N197" s="10"/>
      <c r="O197" s="10"/>
      <c r="P197" s="11"/>
      <c r="Q197" s="10"/>
      <c r="R197" s="11"/>
      <c r="S197" s="11"/>
      <c r="T197" s="11"/>
      <c r="U197" s="11"/>
      <c r="V197" s="10"/>
    </row>
    <row r="198" spans="1:22" x14ac:dyDescent="0.25">
      <c r="A198">
        <v>3</v>
      </c>
      <c r="B198" s="13" t="s">
        <v>710</v>
      </c>
      <c r="C198" t="s">
        <v>726</v>
      </c>
      <c r="D198" s="1" t="s">
        <v>727</v>
      </c>
      <c r="E198" t="s">
        <v>19</v>
      </c>
      <c r="F198" t="s">
        <v>242</v>
      </c>
      <c r="G198" s="2">
        <v>50</v>
      </c>
      <c r="L198" s="1"/>
      <c r="M198" t="str">
        <f>IF(Fields[[#This Row],[Reference Entity]]&lt;&gt;"","t" &amp;Fields[[#This Row],[Reference Entity]],"")</f>
        <v/>
      </c>
      <c r="P198" s="1"/>
      <c r="T198" s="1"/>
      <c r="U198" s="1"/>
    </row>
    <row r="199" spans="1:22" x14ac:dyDescent="0.25">
      <c r="A199">
        <v>4</v>
      </c>
      <c r="B199" s="13" t="s">
        <v>710</v>
      </c>
      <c r="C199" t="s">
        <v>728</v>
      </c>
      <c r="D199" s="1" t="s">
        <v>729</v>
      </c>
      <c r="E199" t="s">
        <v>498</v>
      </c>
      <c r="F199" t="s">
        <v>497</v>
      </c>
      <c r="G199" s="2"/>
      <c r="J199" s="1"/>
      <c r="L199" s="1" t="s">
        <v>339</v>
      </c>
      <c r="M199" t="str">
        <f>IF(Fields[[#This Row],[Reference Entity]]&lt;&gt;"","t" &amp;Fields[[#This Row],[Reference Entity]],"")</f>
        <v>tAccount</v>
      </c>
      <c r="N199" t="str">
        <f>IF(Fields[[#This Row],[Reference Entity]]&lt;&gt;"",RIGHT(Fields[[#This Row],[Column Name]],LEN(Fields[[#This Row],[Column Name]])-2),"")</f>
        <v>AccountExpense</v>
      </c>
      <c r="P199" s="1"/>
      <c r="Q199" t="str">
        <f>Fields[[#This Row],[Column Name]]</f>
        <v>idAccountExpense</v>
      </c>
      <c r="T199" s="1"/>
      <c r="U199" s="1"/>
    </row>
    <row r="200" spans="1:22" x14ac:dyDescent="0.25">
      <c r="A200">
        <v>5</v>
      </c>
      <c r="B200" s="13" t="s">
        <v>710</v>
      </c>
      <c r="C200" t="s">
        <v>730</v>
      </c>
      <c r="D200" s="1" t="s">
        <v>731</v>
      </c>
      <c r="E200" t="s">
        <v>60</v>
      </c>
      <c r="F200" t="s">
        <v>237</v>
      </c>
      <c r="G200" s="2"/>
      <c r="I200">
        <v>0</v>
      </c>
      <c r="L200" s="1"/>
      <c r="M200" t="str">
        <f>IF(Fields[[#This Row],[Reference Entity]]&lt;&gt;"","t" &amp;Fields[[#This Row],[Reference Entity]],"")</f>
        <v/>
      </c>
      <c r="P200" s="1"/>
      <c r="T200" s="1"/>
      <c r="U200" s="1"/>
    </row>
    <row r="201" spans="1:22" ht="30" x14ac:dyDescent="0.25">
      <c r="A201">
        <v>6</v>
      </c>
      <c r="B201" s="13" t="s">
        <v>710</v>
      </c>
      <c r="C201" t="s">
        <v>732</v>
      </c>
      <c r="D201" s="1" t="s">
        <v>733</v>
      </c>
      <c r="E201" t="s">
        <v>60</v>
      </c>
      <c r="F201" t="s">
        <v>237</v>
      </c>
      <c r="G201" s="2"/>
      <c r="I201">
        <v>0</v>
      </c>
      <c r="L201" s="1"/>
      <c r="M201" t="str">
        <f>IF(Fields[[#This Row],[Reference Entity]]&lt;&gt;"","t" &amp;Fields[[#This Row],[Reference Entity]],"")</f>
        <v/>
      </c>
      <c r="P201" s="1"/>
      <c r="T201" s="1"/>
      <c r="U201" s="1"/>
    </row>
    <row r="202" spans="1:22" x14ac:dyDescent="0.25">
      <c r="A202">
        <v>7</v>
      </c>
      <c r="B202" s="13" t="s">
        <v>710</v>
      </c>
      <c r="C202" t="s">
        <v>749</v>
      </c>
      <c r="D202" s="1"/>
      <c r="E202" t="s">
        <v>60</v>
      </c>
      <c r="F202" t="s">
        <v>237</v>
      </c>
      <c r="G202" s="2"/>
      <c r="I202">
        <v>0</v>
      </c>
      <c r="L202" s="1"/>
      <c r="M202" t="str">
        <f>IF(Fields[[#This Row],[Reference Entity]]&lt;&gt;"","t" &amp;Fields[[#This Row],[Reference Entity]],"")</f>
        <v/>
      </c>
      <c r="P202" s="1"/>
      <c r="T202" s="1"/>
      <c r="U202" s="1"/>
    </row>
    <row r="203" spans="1:22" ht="30" x14ac:dyDescent="0.25">
      <c r="A203">
        <v>8</v>
      </c>
      <c r="B203" s="13" t="s">
        <v>710</v>
      </c>
      <c r="C203" t="s">
        <v>740</v>
      </c>
      <c r="D203" s="1" t="s">
        <v>741</v>
      </c>
      <c r="E203" t="s">
        <v>60</v>
      </c>
      <c r="F203" t="s">
        <v>237</v>
      </c>
      <c r="G203" s="2"/>
      <c r="I203">
        <v>0</v>
      </c>
      <c r="L203" s="1"/>
      <c r="M203" t="str">
        <f>IF(Fields[[#This Row],[Reference Entity]]&lt;&gt;"","t" &amp;Fields[[#This Row],[Reference Entity]],"")</f>
        <v/>
      </c>
      <c r="P203" s="1"/>
      <c r="T203" s="1"/>
      <c r="U203" s="1"/>
    </row>
    <row r="204" spans="1:22" ht="75" x14ac:dyDescent="0.25">
      <c r="A204">
        <v>9</v>
      </c>
      <c r="B204" s="13" t="s">
        <v>710</v>
      </c>
      <c r="C204" t="s">
        <v>734</v>
      </c>
      <c r="D204" s="1" t="s">
        <v>735</v>
      </c>
      <c r="E204" t="s">
        <v>124</v>
      </c>
      <c r="F204" t="s">
        <v>236</v>
      </c>
      <c r="G204" s="2"/>
      <c r="I204">
        <v>0</v>
      </c>
      <c r="K204" s="1" t="s">
        <v>736</v>
      </c>
      <c r="L204" s="1"/>
      <c r="M204" t="str">
        <f>IF(Fields[[#This Row],[Reference Entity]]&lt;&gt;"","t" &amp;Fields[[#This Row],[Reference Entity]],"")</f>
        <v/>
      </c>
      <c r="P204" s="1"/>
      <c r="T204" s="1"/>
      <c r="U204" s="1"/>
    </row>
    <row r="205" spans="1:22" ht="45" x14ac:dyDescent="0.25">
      <c r="A205">
        <v>1</v>
      </c>
      <c r="B205" t="s">
        <v>724</v>
      </c>
      <c r="C205" t="s">
        <v>53</v>
      </c>
      <c r="D205" s="1" t="s">
        <v>71</v>
      </c>
      <c r="E205" t="s">
        <v>498</v>
      </c>
      <c r="F205" t="s">
        <v>497</v>
      </c>
      <c r="G205" s="2"/>
      <c r="L205" s="1" t="s">
        <v>346</v>
      </c>
      <c r="M205" t="str">
        <f>IF(Fields[[#This Row],[Reference Entity]]&lt;&gt;"","t" &amp;Fields[[#This Row],[Reference Entity]],"")</f>
        <v>tPlan</v>
      </c>
      <c r="N205" t="str">
        <f>IF(Fields[[#This Row],[Reference Entity]]&lt;&gt;"",RIGHT(Fields[[#This Row],[Column Name]],LEN(Fields[[#This Row],[Column Name]])-2),"")</f>
        <v>Plan</v>
      </c>
      <c r="O205" t="s">
        <v>143</v>
      </c>
      <c r="P205" s="1"/>
      <c r="Q205" t="s">
        <v>716</v>
      </c>
      <c r="R205" s="1" t="s">
        <v>20</v>
      </c>
      <c r="T205" s="1"/>
      <c r="U205" s="1"/>
    </row>
    <row r="206" spans="1:22" x14ac:dyDescent="0.25">
      <c r="A206">
        <v>2</v>
      </c>
      <c r="B206" t="s">
        <v>724</v>
      </c>
      <c r="C206" t="s">
        <v>715</v>
      </c>
      <c r="D206" s="1" t="s">
        <v>721</v>
      </c>
      <c r="E206" t="s">
        <v>19</v>
      </c>
      <c r="F206" t="s">
        <v>242</v>
      </c>
      <c r="G206" s="2">
        <v>50</v>
      </c>
      <c r="L206" s="1"/>
      <c r="M206" t="str">
        <f>IF(Fields[[#This Row],[Reference Entity]]&lt;&gt;"","t" &amp;Fields[[#This Row],[Reference Entity]],"")</f>
        <v/>
      </c>
      <c r="P206" s="1"/>
      <c r="Q206" t="s">
        <v>716</v>
      </c>
      <c r="R206" s="1" t="s">
        <v>20</v>
      </c>
      <c r="T206" s="1"/>
      <c r="U206" s="1"/>
    </row>
    <row r="207" spans="1:22" x14ac:dyDescent="0.25">
      <c r="A207">
        <v>3</v>
      </c>
      <c r="B207" t="s">
        <v>724</v>
      </c>
      <c r="C207" t="s">
        <v>719</v>
      </c>
      <c r="D207" s="1" t="s">
        <v>720</v>
      </c>
      <c r="E207" t="s">
        <v>45</v>
      </c>
      <c r="F207" t="s">
        <v>242</v>
      </c>
      <c r="G207" s="2" t="s">
        <v>241</v>
      </c>
      <c r="H207" t="s">
        <v>20</v>
      </c>
      <c r="L207" s="1"/>
      <c r="M207" t="str">
        <f>IF(Fields[[#This Row],[Reference Entity]]&lt;&gt;"","t" &amp;Fields[[#This Row],[Reference Entity]],"")</f>
        <v/>
      </c>
      <c r="P207" s="1"/>
      <c r="T207" s="1"/>
      <c r="U207" s="1"/>
    </row>
    <row r="208" spans="1:22" x14ac:dyDescent="0.25">
      <c r="A208">
        <v>4</v>
      </c>
      <c r="B208" t="s">
        <v>724</v>
      </c>
      <c r="C208" t="s">
        <v>742</v>
      </c>
      <c r="D208" s="1"/>
      <c r="E208" t="s">
        <v>17</v>
      </c>
      <c r="F208" t="s">
        <v>395</v>
      </c>
      <c r="G208" s="2"/>
      <c r="H208" t="s">
        <v>20</v>
      </c>
      <c r="L208" s="1"/>
      <c r="M208" t="str">
        <f>IF(Fields[[#This Row],[Reference Entity]]&lt;&gt;"","t" &amp;Fields[[#This Row],[Reference Entity]],"")</f>
        <v/>
      </c>
      <c r="P208" s="1"/>
      <c r="T208" s="1"/>
      <c r="U208" s="1"/>
    </row>
    <row r="209" spans="1:22" ht="45" x14ac:dyDescent="0.25">
      <c r="A209">
        <v>1</v>
      </c>
      <c r="B209" t="s">
        <v>709</v>
      </c>
      <c r="C209" t="s">
        <v>53</v>
      </c>
      <c r="D209" s="1" t="s">
        <v>71</v>
      </c>
      <c r="E209" t="s">
        <v>498</v>
      </c>
      <c r="F209" t="s">
        <v>497</v>
      </c>
      <c r="G209" s="2"/>
      <c r="L209" s="1" t="s">
        <v>346</v>
      </c>
      <c r="M209" t="str">
        <f>IF(Fields[[#This Row],[Reference Entity]]&lt;&gt;"","t" &amp;Fields[[#This Row],[Reference Entity]],"")</f>
        <v>tPlan</v>
      </c>
      <c r="N209" t="str">
        <f>IF(Fields[[#This Row],[Reference Entity]]&lt;&gt;"",RIGHT(Fields[[#This Row],[Column Name]],LEN(Fields[[#This Row],[Column Name]])-2),"")</f>
        <v>Plan</v>
      </c>
      <c r="O209" t="s">
        <v>143</v>
      </c>
      <c r="P209" s="1"/>
      <c r="Q209" t="s">
        <v>686</v>
      </c>
      <c r="R209" t="s">
        <v>20</v>
      </c>
      <c r="S209"/>
    </row>
    <row r="210" spans="1:22" x14ac:dyDescent="0.25">
      <c r="A210">
        <v>2</v>
      </c>
      <c r="B210" t="s">
        <v>709</v>
      </c>
      <c r="C210" t="s">
        <v>677</v>
      </c>
      <c r="D210" s="1" t="s">
        <v>714</v>
      </c>
      <c r="E210" t="s">
        <v>19</v>
      </c>
      <c r="F210" t="s">
        <v>242</v>
      </c>
      <c r="G210" s="2">
        <v>50</v>
      </c>
      <c r="L210" s="1"/>
      <c r="M210" t="str">
        <f>IF(Fields[[#This Row],[Reference Entity]]&lt;&gt;"","t" &amp;Fields[[#This Row],[Reference Entity]],"")</f>
        <v/>
      </c>
      <c r="P210" s="1"/>
      <c r="Q210" t="s">
        <v>686</v>
      </c>
      <c r="R210" s="1" t="s">
        <v>20</v>
      </c>
      <c r="T210" s="1"/>
      <c r="U210" s="1"/>
    </row>
    <row r="211" spans="1:22" x14ac:dyDescent="0.25">
      <c r="A211">
        <v>3</v>
      </c>
      <c r="B211" t="s">
        <v>709</v>
      </c>
      <c r="C211" t="s">
        <v>700</v>
      </c>
      <c r="D211" s="1" t="s">
        <v>701</v>
      </c>
      <c r="E211" t="s">
        <v>498</v>
      </c>
      <c r="F211" t="s">
        <v>497</v>
      </c>
      <c r="G211" s="2"/>
      <c r="J211" s="1"/>
      <c r="L211" s="1" t="s">
        <v>339</v>
      </c>
      <c r="M211" t="str">
        <f>IF(Fields[[#This Row],[Reference Entity]]&lt;&gt;"","t" &amp;Fields[[#This Row],[Reference Entity]],"")</f>
        <v>tAccount</v>
      </c>
      <c r="N211" t="str">
        <f>IF(Fields[[#This Row],[Reference Entity]]&lt;&gt;"",RIGHT(Fields[[#This Row],[Column Name]],LEN(Fields[[#This Row],[Column Name]])-2),"")</f>
        <v>AccountSalary</v>
      </c>
      <c r="P211" s="1"/>
      <c r="Q211" t="str">
        <f>Fields[[#This Row],[Column Name]]</f>
        <v>idAccountSalary</v>
      </c>
      <c r="T211" s="1"/>
      <c r="U211" s="1"/>
    </row>
    <row r="212" spans="1:22" x14ac:dyDescent="0.25">
      <c r="A212">
        <v>4</v>
      </c>
      <c r="B212" t="s">
        <v>709</v>
      </c>
      <c r="C212" t="s">
        <v>702</v>
      </c>
      <c r="D212" s="1" t="s">
        <v>703</v>
      </c>
      <c r="E212" t="s">
        <v>124</v>
      </c>
      <c r="F212" t="s">
        <v>236</v>
      </c>
      <c r="G212" s="2"/>
      <c r="I212">
        <v>28</v>
      </c>
      <c r="L212" s="1"/>
      <c r="M212" t="str">
        <f>IF(Fields[[#This Row],[Reference Entity]]&lt;&gt;"","t" &amp;Fields[[#This Row],[Reference Entity]],"")</f>
        <v/>
      </c>
      <c r="P212" s="1"/>
      <c r="T212" s="1"/>
      <c r="U212" s="1"/>
    </row>
    <row r="213" spans="1:22" x14ac:dyDescent="0.25">
      <c r="A213">
        <v>5</v>
      </c>
      <c r="B213" t="s">
        <v>709</v>
      </c>
      <c r="C213" t="s">
        <v>717</v>
      </c>
      <c r="D213" s="1" t="s">
        <v>718</v>
      </c>
      <c r="E213" t="s">
        <v>45</v>
      </c>
      <c r="F213" t="s">
        <v>242</v>
      </c>
      <c r="G213" s="2" t="s">
        <v>241</v>
      </c>
      <c r="H213" t="s">
        <v>20</v>
      </c>
      <c r="L213" s="1"/>
      <c r="M213" t="str">
        <f>IF(Fields[[#This Row],[Reference Entity]]&lt;&gt;"","t" &amp;Fields[[#This Row],[Reference Entity]],"")</f>
        <v/>
      </c>
      <c r="P213" s="1"/>
      <c r="T213" s="1"/>
      <c r="U213" s="1"/>
    </row>
    <row r="214" spans="1:22" x14ac:dyDescent="0.25">
      <c r="A214">
        <v>6</v>
      </c>
      <c r="B214" t="s">
        <v>709</v>
      </c>
      <c r="C214" t="s">
        <v>685</v>
      </c>
      <c r="D214" s="1" t="s">
        <v>699</v>
      </c>
      <c r="E214" t="s">
        <v>18</v>
      </c>
      <c r="F214" t="s">
        <v>6</v>
      </c>
      <c r="G214" s="2"/>
      <c r="I214">
        <v>1</v>
      </c>
      <c r="L214" s="1"/>
      <c r="M214" t="str">
        <f>IF(Fields[[#This Row],[Reference Entity]]&lt;&gt;"","t" &amp;Fields[[#This Row],[Reference Entity]],"")</f>
        <v/>
      </c>
      <c r="P214" s="1"/>
      <c r="T214" s="1"/>
      <c r="U214" s="1"/>
    </row>
    <row r="215" spans="1:22" x14ac:dyDescent="0.25">
      <c r="A215">
        <v>7</v>
      </c>
      <c r="B215" t="s">
        <v>709</v>
      </c>
      <c r="C215" t="s">
        <v>742</v>
      </c>
      <c r="D215" s="1"/>
      <c r="E215" t="s">
        <v>17</v>
      </c>
      <c r="F215" t="s">
        <v>395</v>
      </c>
      <c r="G215" s="2"/>
      <c r="H215" t="s">
        <v>20</v>
      </c>
      <c r="L215" s="1"/>
      <c r="M215" t="str">
        <f>IF(Fields[[#This Row],[Reference Entity]]&lt;&gt;"","t" &amp;Fields[[#This Row],[Reference Entity]],"")</f>
        <v/>
      </c>
      <c r="P215" s="1"/>
      <c r="T215" s="1"/>
      <c r="U215" s="1"/>
    </row>
    <row r="216" spans="1:22" ht="30" x14ac:dyDescent="0.25">
      <c r="A216">
        <v>1</v>
      </c>
      <c r="B216" t="s">
        <v>713</v>
      </c>
      <c r="C216" t="s">
        <v>662</v>
      </c>
      <c r="D216" s="1" t="s">
        <v>704</v>
      </c>
      <c r="E216" t="s">
        <v>498</v>
      </c>
      <c r="F216" t="s">
        <v>497</v>
      </c>
      <c r="G216" s="2"/>
      <c r="L216" s="1" t="s">
        <v>705</v>
      </c>
      <c r="M216" t="str">
        <f>IF(Fields[[#This Row],[Reference Entity]]&lt;&gt;"","t" &amp;Fields[[#This Row],[Reference Entity]],"")</f>
        <v>tPlanHRTariff</v>
      </c>
      <c r="N216" t="str">
        <f>IF(Fields[[#This Row],[Reference Entity]]&lt;&gt;"",RIGHT(Fields[[#This Row],[Column Name]],LEN(Fields[[#This Row],[Column Name]])-2),"")</f>
        <v>Tariff</v>
      </c>
      <c r="P216" s="1"/>
      <c r="T216" s="1"/>
      <c r="U216" s="1"/>
    </row>
    <row r="217" spans="1:22" x14ac:dyDescent="0.25">
      <c r="A217">
        <v>2</v>
      </c>
      <c r="B217" t="s">
        <v>713</v>
      </c>
      <c r="C217" t="s">
        <v>285</v>
      </c>
      <c r="D217" s="1" t="s">
        <v>687</v>
      </c>
      <c r="E217" t="s">
        <v>17</v>
      </c>
      <c r="F217" t="s">
        <v>395</v>
      </c>
      <c r="G217" s="2"/>
      <c r="H217" t="s">
        <v>20</v>
      </c>
      <c r="L217" s="1"/>
      <c r="M217" t="str">
        <f>IF(Fields[[#This Row],[Reference Entity]]&lt;&gt;"","t" &amp;Fields[[#This Row],[Reference Entity]],"")</f>
        <v/>
      </c>
      <c r="P217" s="1"/>
      <c r="T217" s="1"/>
      <c r="U217" s="1"/>
    </row>
    <row r="218" spans="1:22" x14ac:dyDescent="0.25">
      <c r="A218">
        <v>3</v>
      </c>
      <c r="B218" t="s">
        <v>713</v>
      </c>
      <c r="C218" t="s">
        <v>688</v>
      </c>
      <c r="D218" s="1" t="s">
        <v>692</v>
      </c>
      <c r="E218" t="s">
        <v>124</v>
      </c>
      <c r="F218" t="s">
        <v>236</v>
      </c>
      <c r="G218" s="2"/>
      <c r="I218">
        <v>40</v>
      </c>
      <c r="L218" s="1"/>
      <c r="M218" t="str">
        <f>IF(Fields[[#This Row],[Reference Entity]]&lt;&gt;"","t" &amp;Fields[[#This Row],[Reference Entity]],"")</f>
        <v/>
      </c>
      <c r="P218" s="1"/>
      <c r="T218" s="1"/>
      <c r="U218" s="1"/>
    </row>
    <row r="219" spans="1:22" x14ac:dyDescent="0.25">
      <c r="A219">
        <v>4</v>
      </c>
      <c r="B219" t="s">
        <v>713</v>
      </c>
      <c r="C219" t="s">
        <v>664</v>
      </c>
      <c r="D219" s="1" t="s">
        <v>670</v>
      </c>
      <c r="E219" t="s">
        <v>60</v>
      </c>
      <c r="F219" t="s">
        <v>237</v>
      </c>
      <c r="G219" s="2"/>
      <c r="I219">
        <v>1</v>
      </c>
      <c r="L219" s="1"/>
      <c r="M219" t="str">
        <f>IF(Fields[[#This Row],[Reference Entity]]&lt;&gt;"","t" &amp;Fields[[#This Row],[Reference Entity]],"")</f>
        <v/>
      </c>
      <c r="P219" s="1"/>
      <c r="T219" s="1"/>
      <c r="U219" s="1"/>
      <c r="V219" t="s">
        <v>476</v>
      </c>
    </row>
    <row r="220" spans="1:22" x14ac:dyDescent="0.25">
      <c r="A220">
        <v>5</v>
      </c>
      <c r="B220" t="s">
        <v>713</v>
      </c>
      <c r="C220" t="s">
        <v>671</v>
      </c>
      <c r="D220" s="1" t="s">
        <v>674</v>
      </c>
      <c r="E220" t="s">
        <v>60</v>
      </c>
      <c r="F220" t="s">
        <v>237</v>
      </c>
      <c r="G220" s="2"/>
      <c r="I220">
        <v>0</v>
      </c>
      <c r="L220" s="1"/>
      <c r="M220" t="str">
        <f>IF(Fields[[#This Row],[Reference Entity]]&lt;&gt;"","t" &amp;Fields[[#This Row],[Reference Entity]],"")</f>
        <v/>
      </c>
      <c r="P220" s="1"/>
      <c r="T220" s="1"/>
      <c r="U220" s="1"/>
      <c r="V220" t="s">
        <v>476</v>
      </c>
    </row>
    <row r="221" spans="1:22" x14ac:dyDescent="0.25">
      <c r="A221">
        <v>6</v>
      </c>
      <c r="B221" t="s">
        <v>713</v>
      </c>
      <c r="C221" t="s">
        <v>672</v>
      </c>
      <c r="D221" s="1" t="s">
        <v>675</v>
      </c>
      <c r="E221" t="s">
        <v>60</v>
      </c>
      <c r="F221" t="s">
        <v>237</v>
      </c>
      <c r="G221" s="2"/>
      <c r="I221">
        <v>0</v>
      </c>
      <c r="L221" s="1"/>
      <c r="M221" t="str">
        <f>IF(Fields[[#This Row],[Reference Entity]]&lt;&gt;"","t" &amp;Fields[[#This Row],[Reference Entity]],"")</f>
        <v/>
      </c>
      <c r="P221" s="1"/>
      <c r="T221" s="1"/>
      <c r="U221" s="1"/>
      <c r="V221" t="s">
        <v>476</v>
      </c>
    </row>
    <row r="222" spans="1:22" x14ac:dyDescent="0.25">
      <c r="A222">
        <v>7</v>
      </c>
      <c r="B222" t="s">
        <v>713</v>
      </c>
      <c r="C222" t="s">
        <v>673</v>
      </c>
      <c r="D222" s="1" t="s">
        <v>676</v>
      </c>
      <c r="E222" t="s">
        <v>60</v>
      </c>
      <c r="F222" t="s">
        <v>237</v>
      </c>
      <c r="G222" s="2"/>
      <c r="I222">
        <v>0</v>
      </c>
      <c r="L222" s="1"/>
      <c r="M222" t="str">
        <f>IF(Fields[[#This Row],[Reference Entity]]&lt;&gt;"","t" &amp;Fields[[#This Row],[Reference Entity]],"")</f>
        <v/>
      </c>
      <c r="P222" s="1"/>
      <c r="T222" s="1"/>
      <c r="U222" s="1"/>
      <c r="V222" t="s">
        <v>476</v>
      </c>
    </row>
    <row r="223" spans="1:22" x14ac:dyDescent="0.25">
      <c r="A223">
        <v>8</v>
      </c>
      <c r="B223" t="s">
        <v>713</v>
      </c>
      <c r="C223" t="s">
        <v>678</v>
      </c>
      <c r="D223" s="1" t="s">
        <v>689</v>
      </c>
      <c r="E223" t="s">
        <v>124</v>
      </c>
      <c r="F223" t="s">
        <v>236</v>
      </c>
      <c r="G223" s="2"/>
      <c r="I223">
        <v>0</v>
      </c>
      <c r="L223" s="1"/>
      <c r="M223" t="str">
        <f>IF(Fields[[#This Row],[Reference Entity]]&lt;&gt;"","t" &amp;Fields[[#This Row],[Reference Entity]],"")</f>
        <v/>
      </c>
      <c r="P223" s="1"/>
      <c r="T223" s="1"/>
      <c r="U223" s="1"/>
    </row>
    <row r="224" spans="1:22" ht="30" x14ac:dyDescent="0.25">
      <c r="A224">
        <v>9</v>
      </c>
      <c r="B224" t="s">
        <v>713</v>
      </c>
      <c r="C224" t="s">
        <v>679</v>
      </c>
      <c r="D224" s="1" t="s">
        <v>690</v>
      </c>
      <c r="E224" t="s">
        <v>124</v>
      </c>
      <c r="F224" t="s">
        <v>236</v>
      </c>
      <c r="G224" s="2"/>
      <c r="I224">
        <v>0</v>
      </c>
      <c r="L224" s="1"/>
      <c r="M224" t="str">
        <f>IF(Fields[[#This Row],[Reference Entity]]&lt;&gt;"","t" &amp;Fields[[#This Row],[Reference Entity]],"")</f>
        <v/>
      </c>
      <c r="P224" s="1"/>
      <c r="T224" s="1"/>
      <c r="U224" s="1"/>
    </row>
    <row r="225" spans="1:22" ht="30" x14ac:dyDescent="0.25">
      <c r="A225">
        <v>10</v>
      </c>
      <c r="B225" t="s">
        <v>713</v>
      </c>
      <c r="C225" t="s">
        <v>691</v>
      </c>
      <c r="D225" s="1" t="s">
        <v>693</v>
      </c>
      <c r="E225" t="s">
        <v>60</v>
      </c>
      <c r="F225" t="s">
        <v>237</v>
      </c>
      <c r="G225" s="2"/>
      <c r="I225">
        <v>0</v>
      </c>
      <c r="L225" s="1"/>
      <c r="M225" t="str">
        <f>IF(Fields[[#This Row],[Reference Entity]]&lt;&gt;"","t" &amp;Fields[[#This Row],[Reference Entity]],"")</f>
        <v/>
      </c>
      <c r="P225" s="1"/>
      <c r="T225" s="1"/>
      <c r="U225" s="1"/>
    </row>
    <row r="226" spans="1:22" x14ac:dyDescent="0.25">
      <c r="A226">
        <v>11</v>
      </c>
      <c r="B226" t="s">
        <v>713</v>
      </c>
      <c r="C226" t="s">
        <v>680</v>
      </c>
      <c r="D226" s="1" t="s">
        <v>694</v>
      </c>
      <c r="E226" t="s">
        <v>60</v>
      </c>
      <c r="F226" t="s">
        <v>237</v>
      </c>
      <c r="G226" s="2"/>
      <c r="I226">
        <v>0</v>
      </c>
      <c r="L226" s="1"/>
      <c r="M226" t="str">
        <f>IF(Fields[[#This Row],[Reference Entity]]&lt;&gt;"","t" &amp;Fields[[#This Row],[Reference Entity]],"")</f>
        <v/>
      </c>
      <c r="P226" s="1"/>
      <c r="T226" s="1"/>
      <c r="U226" s="1"/>
    </row>
    <row r="227" spans="1:22" x14ac:dyDescent="0.25">
      <c r="A227">
        <v>12</v>
      </c>
      <c r="B227" t="s">
        <v>713</v>
      </c>
      <c r="C227" t="s">
        <v>681</v>
      </c>
      <c r="D227" s="1" t="s">
        <v>695</v>
      </c>
      <c r="E227" t="s">
        <v>60</v>
      </c>
      <c r="F227" t="s">
        <v>237</v>
      </c>
      <c r="G227" s="2"/>
      <c r="I227">
        <v>0</v>
      </c>
      <c r="L227" s="1"/>
      <c r="M227" t="str">
        <f>IF(Fields[[#This Row],[Reference Entity]]&lt;&gt;"","t" &amp;Fields[[#This Row],[Reference Entity]],"")</f>
        <v/>
      </c>
      <c r="P227" s="1"/>
      <c r="T227" s="1"/>
      <c r="U227" s="1"/>
    </row>
    <row r="228" spans="1:22" x14ac:dyDescent="0.25">
      <c r="A228">
        <v>13</v>
      </c>
      <c r="B228" t="s">
        <v>713</v>
      </c>
      <c r="C228" t="s">
        <v>682</v>
      </c>
      <c r="D228" s="1" t="s">
        <v>696</v>
      </c>
      <c r="E228" t="s">
        <v>60</v>
      </c>
      <c r="F228" t="s">
        <v>237</v>
      </c>
      <c r="G228" s="2"/>
      <c r="I228">
        <v>1</v>
      </c>
      <c r="L228" s="1"/>
      <c r="M228" t="str">
        <f>IF(Fields[[#This Row],[Reference Entity]]&lt;&gt;"","t" &amp;Fields[[#This Row],[Reference Entity]],"")</f>
        <v/>
      </c>
      <c r="P228" s="1"/>
      <c r="T228" s="1"/>
      <c r="U228" s="1"/>
    </row>
    <row r="229" spans="1:22" x14ac:dyDescent="0.25">
      <c r="A229">
        <v>14</v>
      </c>
      <c r="B229" t="s">
        <v>713</v>
      </c>
      <c r="C229" t="s">
        <v>683</v>
      </c>
      <c r="D229" s="1" t="s">
        <v>697</v>
      </c>
      <c r="E229" t="s">
        <v>60</v>
      </c>
      <c r="F229" t="s">
        <v>237</v>
      </c>
      <c r="G229" s="2"/>
      <c r="H229" t="s">
        <v>20</v>
      </c>
      <c r="L229" s="1"/>
      <c r="M229" t="str">
        <f>IF(Fields[[#This Row],[Reference Entity]]&lt;&gt;"","t" &amp;Fields[[#This Row],[Reference Entity]],"")</f>
        <v/>
      </c>
      <c r="P229" s="1"/>
      <c r="T229" s="1"/>
      <c r="U229" s="1"/>
    </row>
    <row r="230" spans="1:22" x14ac:dyDescent="0.25">
      <c r="A230">
        <v>15</v>
      </c>
      <c r="B230" t="s">
        <v>713</v>
      </c>
      <c r="C230" t="s">
        <v>684</v>
      </c>
      <c r="D230" s="1" t="s">
        <v>698</v>
      </c>
      <c r="E230" t="s">
        <v>124</v>
      </c>
      <c r="F230" t="s">
        <v>236</v>
      </c>
      <c r="G230" s="2"/>
      <c r="I230">
        <v>12</v>
      </c>
      <c r="L230" s="1"/>
      <c r="M230" t="str">
        <f>IF(Fields[[#This Row],[Reference Entity]]&lt;&gt;"","t" &amp;Fields[[#This Row],[Reference Entity]],"")</f>
        <v/>
      </c>
      <c r="P230" s="1"/>
      <c r="T230" s="1"/>
      <c r="U230" s="1"/>
    </row>
    <row r="231" spans="1:22" ht="45" x14ac:dyDescent="0.25">
      <c r="A231">
        <v>1</v>
      </c>
      <c r="B231" t="s">
        <v>460</v>
      </c>
      <c r="C231" t="s">
        <v>53</v>
      </c>
      <c r="D231" s="1" t="s">
        <v>71</v>
      </c>
      <c r="E231" t="s">
        <v>498</v>
      </c>
      <c r="F231" t="s">
        <v>497</v>
      </c>
      <c r="G231" s="2"/>
      <c r="L231" s="1" t="s">
        <v>346</v>
      </c>
      <c r="M231" t="str">
        <f>IF(Fields[[#This Row],[Reference Entity]]&lt;&gt;"","t" &amp;Fields[[#This Row],[Reference Entity]],"")</f>
        <v>tPlan</v>
      </c>
      <c r="N231" t="str">
        <f>IF(Fields[[#This Row],[Reference Entity]]&lt;&gt;"",RIGHT(Fields[[#This Row],[Column Name]],LEN(Fields[[#This Row],[Column Name]])-2),"")</f>
        <v>Plan</v>
      </c>
      <c r="O231" t="s">
        <v>143</v>
      </c>
      <c r="P231" s="1"/>
      <c r="T231" s="1"/>
      <c r="U231" s="1"/>
    </row>
    <row r="232" spans="1:22" x14ac:dyDescent="0.25">
      <c r="A232">
        <v>2</v>
      </c>
      <c r="B232" t="s">
        <v>460</v>
      </c>
      <c r="C232" t="s">
        <v>461</v>
      </c>
      <c r="D232" s="1" t="s">
        <v>462</v>
      </c>
      <c r="E232" t="s">
        <v>19</v>
      </c>
      <c r="F232" t="s">
        <v>242</v>
      </c>
      <c r="G232" s="2">
        <v>30</v>
      </c>
      <c r="L232" s="1" t="s">
        <v>389</v>
      </c>
      <c r="M232" t="str">
        <f>IF(Fields[[#This Row],[Reference Entity]]&lt;&gt;"","t" &amp;Fields[[#This Row],[Reference Entity]],"")</f>
        <v/>
      </c>
      <c r="N232" t="str">
        <f>IF(Fields[[#This Row],[Reference Entity]]&lt;&gt;"",RIGHT(Fields[[#This Row],[Column Name]],LEN(Fields[[#This Row],[Column Name]])-2),"")</f>
        <v/>
      </c>
      <c r="P232" s="1"/>
      <c r="T232" s="1"/>
      <c r="U232" s="1"/>
    </row>
    <row r="233" spans="1:22" ht="30" x14ac:dyDescent="0.25">
      <c r="A233">
        <v>3</v>
      </c>
      <c r="B233" t="s">
        <v>460</v>
      </c>
      <c r="C233" t="s">
        <v>463</v>
      </c>
      <c r="D233" s="1" t="s">
        <v>464</v>
      </c>
      <c r="E233" t="s">
        <v>124</v>
      </c>
      <c r="F233" t="s">
        <v>236</v>
      </c>
      <c r="G233" s="2"/>
      <c r="I233">
        <v>12</v>
      </c>
      <c r="K233" s="1" t="s">
        <v>611</v>
      </c>
      <c r="L233" s="1" t="s">
        <v>389</v>
      </c>
      <c r="M233" t="str">
        <f>IF(Fields[[#This Row],[Reference Entity]]&lt;&gt;"","t" &amp;Fields[[#This Row],[Reference Entity]],"")</f>
        <v/>
      </c>
      <c r="N233" t="str">
        <f>IF(Fields[[#This Row],[Reference Entity]]&lt;&gt;"",RIGHT(Fields[[#This Row],[Column Name]],LEN(Fields[[#This Row],[Column Name]])-2),"")</f>
        <v/>
      </c>
      <c r="P233" s="1"/>
      <c r="T233" s="1"/>
      <c r="U233" s="1"/>
    </row>
    <row r="234" spans="1:22" x14ac:dyDescent="0.25">
      <c r="A234">
        <v>4</v>
      </c>
      <c r="B234" t="s">
        <v>460</v>
      </c>
      <c r="C234" t="s">
        <v>465</v>
      </c>
      <c r="D234" s="1" t="s">
        <v>466</v>
      </c>
      <c r="E234" t="s">
        <v>60</v>
      </c>
      <c r="F234" t="s">
        <v>237</v>
      </c>
      <c r="G234" s="2"/>
      <c r="I234">
        <v>0</v>
      </c>
      <c r="L234" s="1" t="s">
        <v>389</v>
      </c>
      <c r="M234" t="str">
        <f>IF(Fields[[#This Row],[Reference Entity]]&lt;&gt;"","t" &amp;Fields[[#This Row],[Reference Entity]],"")</f>
        <v/>
      </c>
      <c r="N234" t="str">
        <f>IF(Fields[[#This Row],[Reference Entity]]&lt;&gt;"",RIGHT(Fields[[#This Row],[Column Name]],LEN(Fields[[#This Row],[Column Name]])-2),"")</f>
        <v/>
      </c>
      <c r="P234" s="1"/>
      <c r="T234" s="1"/>
      <c r="U234" s="1"/>
    </row>
    <row r="235" spans="1:22" x14ac:dyDescent="0.25">
      <c r="A235">
        <v>5</v>
      </c>
      <c r="B235" t="s">
        <v>460</v>
      </c>
      <c r="C235" t="s">
        <v>471</v>
      </c>
      <c r="D235" s="1" t="s">
        <v>472</v>
      </c>
      <c r="E235" t="s">
        <v>45</v>
      </c>
      <c r="F235" t="s">
        <v>242</v>
      </c>
      <c r="G235" s="2" t="s">
        <v>241</v>
      </c>
      <c r="H235" t="s">
        <v>20</v>
      </c>
      <c r="L235" s="1" t="s">
        <v>389</v>
      </c>
      <c r="M235" t="str">
        <f>IF(Fields[[#This Row],[Reference Entity]]&lt;&gt;"","t" &amp;Fields[[#This Row],[Reference Entity]],"")</f>
        <v/>
      </c>
      <c r="N235" t="str">
        <f>IF(Fields[[#This Row],[Reference Entity]]&lt;&gt;"",RIGHT(Fields[[#This Row],[Column Name]],LEN(Fields[[#This Row],[Column Name]])-2),"")</f>
        <v/>
      </c>
      <c r="P235" s="1"/>
      <c r="T235" s="1"/>
      <c r="U235" s="1"/>
      <c r="V235" t="s">
        <v>473</v>
      </c>
    </row>
    <row r="236" spans="1:22" ht="45" x14ac:dyDescent="0.25">
      <c r="A236">
        <v>1</v>
      </c>
      <c r="B236" t="s">
        <v>66</v>
      </c>
      <c r="C236" t="s">
        <v>53</v>
      </c>
      <c r="D236" s="1" t="s">
        <v>71</v>
      </c>
      <c r="E236" t="s">
        <v>498</v>
      </c>
      <c r="F236" t="s">
        <v>497</v>
      </c>
      <c r="G236" s="2"/>
      <c r="L236" s="1" t="s">
        <v>346</v>
      </c>
      <c r="M236" t="str">
        <f>IF(Fields[[#This Row],[Reference Entity]]&lt;&gt;"","t" &amp;Fields[[#This Row],[Reference Entity]],"")</f>
        <v>tPlan</v>
      </c>
      <c r="N236" t="str">
        <f>IF(Fields[[#This Row],[Reference Entity]]&lt;&gt;"",RIGHT(Fields[[#This Row],[Column Name]],LEN(Fields[[#This Row],[Column Name]])-2),"")</f>
        <v>Plan</v>
      </c>
      <c r="O236" t="s">
        <v>143</v>
      </c>
      <c r="P236" s="1"/>
      <c r="Q236" t="s">
        <v>283</v>
      </c>
      <c r="R236" t="s">
        <v>20</v>
      </c>
      <c r="S236"/>
    </row>
    <row r="237" spans="1:22" x14ac:dyDescent="0.25">
      <c r="A237">
        <v>2</v>
      </c>
      <c r="B237" t="s">
        <v>66</v>
      </c>
      <c r="C237" t="s">
        <v>325</v>
      </c>
      <c r="D237" s="1" t="s">
        <v>459</v>
      </c>
      <c r="E237" t="s">
        <v>124</v>
      </c>
      <c r="F237" t="s">
        <v>236</v>
      </c>
      <c r="G237" s="2"/>
      <c r="I237">
        <v>0</v>
      </c>
      <c r="K237" t="s">
        <v>325</v>
      </c>
      <c r="L237" s="1" t="s">
        <v>389</v>
      </c>
      <c r="M237" t="str">
        <f>IF(Fields[[#This Row],[Reference Entity]]&lt;&gt;"","t" &amp;Fields[[#This Row],[Reference Entity]],"")</f>
        <v/>
      </c>
      <c r="N237" t="str">
        <f>IF(Fields[[#This Row],[Reference Entity]]&lt;&gt;"",RIGHT(Fields[[#This Row],[Column Name]],LEN(Fields[[#This Row],[Column Name]])-2),"")</f>
        <v/>
      </c>
      <c r="P237" s="1"/>
      <c r="Q237" t="s">
        <v>283</v>
      </c>
      <c r="R237" t="s">
        <v>20</v>
      </c>
      <c r="S237"/>
    </row>
    <row r="238" spans="1:22" x14ac:dyDescent="0.25">
      <c r="A238">
        <v>3</v>
      </c>
      <c r="B238" t="s">
        <v>66</v>
      </c>
      <c r="C238" t="s">
        <v>315</v>
      </c>
      <c r="D238" s="1" t="s">
        <v>108</v>
      </c>
      <c r="E238" t="s">
        <v>19</v>
      </c>
      <c r="F238" t="s">
        <v>242</v>
      </c>
      <c r="G238" s="2">
        <v>30</v>
      </c>
      <c r="L238" s="1" t="s">
        <v>389</v>
      </c>
      <c r="M238" t="str">
        <f>IF(Fields[[#This Row],[Reference Entity]]&lt;&gt;"","t" &amp;Fields[[#This Row],[Reference Entity]],"")</f>
        <v/>
      </c>
      <c r="N238" t="str">
        <f>IF(Fields[[#This Row],[Reference Entity]]&lt;&gt;"",RIGHT(Fields[[#This Row],[Column Name]],LEN(Fields[[#This Row],[Column Name]])-2),"")</f>
        <v/>
      </c>
      <c r="P238" s="1"/>
      <c r="Q238" t="s">
        <v>283</v>
      </c>
      <c r="R238" t="s">
        <v>20</v>
      </c>
      <c r="S238"/>
    </row>
    <row r="239" spans="1:22" x14ac:dyDescent="0.25">
      <c r="A239">
        <v>4</v>
      </c>
      <c r="B239" t="s">
        <v>66</v>
      </c>
      <c r="C239" t="s">
        <v>125</v>
      </c>
      <c r="D239" s="1" t="s">
        <v>128</v>
      </c>
      <c r="E239" t="s">
        <v>60</v>
      </c>
      <c r="F239" t="s">
        <v>237</v>
      </c>
      <c r="G239" s="2"/>
      <c r="I239">
        <v>0</v>
      </c>
      <c r="L239" s="1" t="s">
        <v>389</v>
      </c>
      <c r="M239" t="str">
        <f>IF(Fields[[#This Row],[Reference Entity]]&lt;&gt;"","t" &amp;Fields[[#This Row],[Reference Entity]],"")</f>
        <v/>
      </c>
      <c r="N239" t="str">
        <f>IF(Fields[[#This Row],[Reference Entity]]&lt;&gt;"",RIGHT(Fields[[#This Row],[Column Name]],LEN(Fields[[#This Row],[Column Name]])-2),"")</f>
        <v/>
      </c>
      <c r="P239" s="1"/>
      <c r="R239"/>
      <c r="S239"/>
    </row>
    <row r="240" spans="1:22" x14ac:dyDescent="0.25">
      <c r="A240">
        <v>5</v>
      </c>
      <c r="B240" t="s">
        <v>66</v>
      </c>
      <c r="C240" t="s">
        <v>126</v>
      </c>
      <c r="D240" s="1" t="s">
        <v>129</v>
      </c>
      <c r="E240" t="s">
        <v>17</v>
      </c>
      <c r="F240" t="s">
        <v>395</v>
      </c>
      <c r="G240" s="2"/>
      <c r="H240" t="s">
        <v>20</v>
      </c>
      <c r="L240" s="1" t="s">
        <v>389</v>
      </c>
      <c r="M240" t="str">
        <f>IF(Fields[[#This Row],[Reference Entity]]&lt;&gt;"","t" &amp;Fields[[#This Row],[Reference Entity]],"")</f>
        <v/>
      </c>
      <c r="N240" t="str">
        <f>IF(Fields[[#This Row],[Reference Entity]]&lt;&gt;"",RIGHT(Fields[[#This Row],[Column Name]],LEN(Fields[[#This Row],[Column Name]])-2),"")</f>
        <v/>
      </c>
      <c r="P240" s="1"/>
      <c r="R240"/>
      <c r="S240"/>
    </row>
    <row r="241" spans="1:21" x14ac:dyDescent="0.25">
      <c r="A241">
        <v>6</v>
      </c>
      <c r="B241" t="s">
        <v>66</v>
      </c>
      <c r="C241" t="s">
        <v>127</v>
      </c>
      <c r="D241" s="1" t="s">
        <v>130</v>
      </c>
      <c r="E241" t="s">
        <v>19</v>
      </c>
      <c r="F241" t="s">
        <v>242</v>
      </c>
      <c r="G241" s="2">
        <v>30</v>
      </c>
      <c r="H241" t="s">
        <v>20</v>
      </c>
      <c r="L241" s="1" t="s">
        <v>389</v>
      </c>
      <c r="M241" t="str">
        <f>IF(Fields[[#This Row],[Reference Entity]]&lt;&gt;"","t" &amp;Fields[[#This Row],[Reference Entity]],"")</f>
        <v/>
      </c>
      <c r="N241" t="str">
        <f>IF(Fields[[#This Row],[Reference Entity]]&lt;&gt;"",RIGHT(Fields[[#This Row],[Column Name]],LEN(Fields[[#This Row],[Column Name]])-2),"")</f>
        <v/>
      </c>
      <c r="P241" s="1"/>
      <c r="R241"/>
      <c r="S241"/>
    </row>
    <row r="242" spans="1:21" x14ac:dyDescent="0.25">
      <c r="A242">
        <v>7</v>
      </c>
      <c r="B242" t="s">
        <v>66</v>
      </c>
      <c r="C242" t="s">
        <v>327</v>
      </c>
      <c r="D242" s="1" t="s">
        <v>131</v>
      </c>
      <c r="E242" t="s">
        <v>19</v>
      </c>
      <c r="F242" t="s">
        <v>242</v>
      </c>
      <c r="G242" s="2">
        <v>15</v>
      </c>
      <c r="H242" t="s">
        <v>20</v>
      </c>
      <c r="L242" s="1" t="s">
        <v>389</v>
      </c>
      <c r="M242" t="str">
        <f>IF(Fields[[#This Row],[Reference Entity]]&lt;&gt;"","t" &amp;Fields[[#This Row],[Reference Entity]],"")</f>
        <v/>
      </c>
      <c r="N242" t="str">
        <f>IF(Fields[[#This Row],[Reference Entity]]&lt;&gt;"",RIGHT(Fields[[#This Row],[Column Name]],LEN(Fields[[#This Row],[Column Name]])-2),"")</f>
        <v/>
      </c>
      <c r="P242" s="1"/>
      <c r="R242"/>
      <c r="S242"/>
    </row>
    <row r="243" spans="1:21" x14ac:dyDescent="0.25">
      <c r="A243">
        <v>8</v>
      </c>
      <c r="B243" t="s">
        <v>66</v>
      </c>
      <c r="C243" t="s">
        <v>294</v>
      </c>
      <c r="D243" s="1" t="s">
        <v>109</v>
      </c>
      <c r="E243" t="s">
        <v>45</v>
      </c>
      <c r="F243" t="s">
        <v>242</v>
      </c>
      <c r="G243" s="2" t="s">
        <v>241</v>
      </c>
      <c r="H243" t="s">
        <v>20</v>
      </c>
      <c r="L243" s="1" t="s">
        <v>389</v>
      </c>
      <c r="M243" t="str">
        <f>IF(Fields[[#This Row],[Reference Entity]]&lt;&gt;"","t" &amp;Fields[[#This Row],[Reference Entity]],"")</f>
        <v/>
      </c>
      <c r="N243" t="str">
        <f>IF(Fields[[#This Row],[Reference Entity]]&lt;&gt;"",RIGHT(Fields[[#This Row],[Column Name]],LEN(Fields[[#This Row],[Column Name]])-2),"")</f>
        <v/>
      </c>
      <c r="P243" s="1"/>
      <c r="R243"/>
      <c r="S243"/>
    </row>
    <row r="244" spans="1:21" ht="30" x14ac:dyDescent="0.25">
      <c r="A244">
        <v>1</v>
      </c>
      <c r="B244" t="s">
        <v>164</v>
      </c>
      <c r="C244" t="s">
        <v>53</v>
      </c>
      <c r="D244" s="1" t="s">
        <v>227</v>
      </c>
      <c r="E244" t="s">
        <v>498</v>
      </c>
      <c r="F244" t="s">
        <v>497</v>
      </c>
      <c r="G244" s="2"/>
      <c r="J244" s="1"/>
      <c r="L244" s="1" t="s">
        <v>346</v>
      </c>
      <c r="M244" t="str">
        <f>IF(Fields[[#This Row],[Reference Entity]]&lt;&gt;"","t" &amp;Fields[[#This Row],[Reference Entity]],"")</f>
        <v>tPlan</v>
      </c>
      <c r="N244" t="str">
        <f>IF(Fields[[#This Row],[Reference Entity]]&lt;&gt;"",RIGHT(Fields[[#This Row],[Column Name]],LEN(Fields[[#This Row],[Column Name]])-2),"")</f>
        <v>Plan</v>
      </c>
      <c r="O244" t="s">
        <v>143</v>
      </c>
      <c r="P244" s="1"/>
      <c r="Q244" t="str">
        <f>Fields[[#This Row],[Column Name]]</f>
        <v>idPlan</v>
      </c>
      <c r="S244"/>
    </row>
    <row r="245" spans="1:21" x14ac:dyDescent="0.25">
      <c r="A245">
        <v>2</v>
      </c>
      <c r="B245" t="s">
        <v>164</v>
      </c>
      <c r="C245" t="s">
        <v>225</v>
      </c>
      <c r="D245" s="1" t="s">
        <v>226</v>
      </c>
      <c r="E245" t="s">
        <v>498</v>
      </c>
      <c r="F245" t="s">
        <v>497</v>
      </c>
      <c r="G245" s="2"/>
      <c r="J245" s="1"/>
      <c r="L245" s="1" t="s">
        <v>354</v>
      </c>
      <c r="M245" t="str">
        <f>IF(Fields[[#This Row],[Reference Entity]]&lt;&gt;"","t" &amp;Fields[[#This Row],[Reference Entity]],"")</f>
        <v>tBookTransaction</v>
      </c>
      <c r="N245" t="str">
        <f>IF(Fields[[#This Row],[Reference Entity]]&lt;&gt;"",RIGHT(Fields[[#This Row],[Column Name]],LEN(Fields[[#This Row],[Column Name]])-2),"")</f>
        <v>BookTransaction</v>
      </c>
      <c r="P245" s="1"/>
      <c r="Q245" t="str">
        <f>Fields[[#This Row],[Column Name]]</f>
        <v>idBookTransaction</v>
      </c>
      <c r="S245"/>
    </row>
    <row r="246" spans="1:21" x14ac:dyDescent="0.25">
      <c r="A246">
        <v>1</v>
      </c>
      <c r="B246" t="s">
        <v>433</v>
      </c>
      <c r="C246" t="s">
        <v>5</v>
      </c>
      <c r="D246" s="1" t="s">
        <v>271</v>
      </c>
      <c r="E246" t="s">
        <v>498</v>
      </c>
      <c r="F246" t="s">
        <v>497</v>
      </c>
      <c r="G246" s="2"/>
      <c r="J246" s="1"/>
      <c r="L246" s="1" t="s">
        <v>148</v>
      </c>
      <c r="M246" t="str">
        <f>IF(Fields[[#This Row],[Reference Entity]]&lt;&gt;"","t" &amp;Fields[[#This Row],[Reference Entity]],"")</f>
        <v>tClient</v>
      </c>
      <c r="N246" t="str">
        <f>IF(Fields[[#This Row],[Reference Entity]]&lt;&gt;"",RIGHT(Fields[[#This Row],[Column Name]],LEN(Fields[[#This Row],[Column Name]])-2),"")</f>
        <v>Client</v>
      </c>
      <c r="P246" s="1"/>
      <c r="Q246" s="1" t="s">
        <v>25</v>
      </c>
      <c r="R246" s="1" t="s">
        <v>20</v>
      </c>
      <c r="T246" s="1"/>
      <c r="U246" s="1"/>
    </row>
    <row r="247" spans="1:21" ht="30" x14ac:dyDescent="0.25">
      <c r="A247">
        <v>2</v>
      </c>
      <c r="B247" t="s">
        <v>433</v>
      </c>
      <c r="C247" t="s">
        <v>270</v>
      </c>
      <c r="D247" s="1" t="s">
        <v>272</v>
      </c>
      <c r="E247" t="s">
        <v>498</v>
      </c>
      <c r="F247" t="s">
        <v>497</v>
      </c>
      <c r="G247" s="2"/>
      <c r="J247" s="1"/>
      <c r="L247" s="1" t="s">
        <v>344</v>
      </c>
      <c r="M247" t="str">
        <f>IF(Fields[[#This Row],[Reference Entity]]&lt;&gt;"","t" &amp;Fields[[#This Row],[Reference Entity]],"")</f>
        <v>tReferenceGroup</v>
      </c>
      <c r="N247" t="str">
        <f>IF(Fields[[#This Row],[Reference Entity]]&lt;&gt;"",RIGHT(Fields[[#This Row],[Column Name]],LEN(Fields[[#This Row],[Column Name]])-2),"")</f>
        <v>ReferenceGroup</v>
      </c>
      <c r="O247" t="s">
        <v>143</v>
      </c>
      <c r="P247" s="1"/>
      <c r="Q247" s="1" t="s">
        <v>270</v>
      </c>
      <c r="T247" s="1"/>
      <c r="U247" s="1"/>
    </row>
    <row r="248" spans="1:21" x14ac:dyDescent="0.25">
      <c r="A248">
        <v>3</v>
      </c>
      <c r="B248" t="s">
        <v>433</v>
      </c>
      <c r="C248" t="s">
        <v>435</v>
      </c>
      <c r="D248" s="1" t="s">
        <v>273</v>
      </c>
      <c r="E248" t="s">
        <v>19</v>
      </c>
      <c r="F248" t="s">
        <v>242</v>
      </c>
      <c r="G248" s="2">
        <v>12</v>
      </c>
      <c r="J248" s="1"/>
      <c r="L248" s="1" t="s">
        <v>389</v>
      </c>
      <c r="M248" t="str">
        <f>IF(Fields[[#This Row],[Reference Entity]]&lt;&gt;"","t" &amp;Fields[[#This Row],[Reference Entity]],"")</f>
        <v/>
      </c>
      <c r="N248" t="str">
        <f>IF(Fields[[#This Row],[Reference Entity]]&lt;&gt;"",RIGHT(Fields[[#This Row],[Column Name]],LEN(Fields[[#This Row],[Column Name]])-2),"")</f>
        <v/>
      </c>
      <c r="P248" s="1"/>
      <c r="Q248" s="1" t="s">
        <v>25</v>
      </c>
      <c r="R248" s="1" t="s">
        <v>20</v>
      </c>
      <c r="T248" s="1"/>
      <c r="U248" s="1"/>
    </row>
    <row r="249" spans="1:21" x14ac:dyDescent="0.25">
      <c r="A249">
        <v>4</v>
      </c>
      <c r="B249" t="s">
        <v>433</v>
      </c>
      <c r="C249" t="s">
        <v>436</v>
      </c>
      <c r="D249" s="1" t="s">
        <v>274</v>
      </c>
      <c r="E249" t="s">
        <v>19</v>
      </c>
      <c r="F249" t="s">
        <v>242</v>
      </c>
      <c r="G249" s="2">
        <v>50</v>
      </c>
      <c r="H249" t="s">
        <v>20</v>
      </c>
      <c r="J249" s="1"/>
      <c r="L249" s="1" t="s">
        <v>389</v>
      </c>
      <c r="M249" t="str">
        <f>IF(Fields[[#This Row],[Reference Entity]]&lt;&gt;"","t" &amp;Fields[[#This Row],[Reference Entity]],"")</f>
        <v/>
      </c>
      <c r="N249" t="str">
        <f>IF(Fields[[#This Row],[Reference Entity]]&lt;&gt;"",RIGHT(Fields[[#This Row],[Column Name]],LEN(Fields[[#This Row],[Column Name]])-2),"")</f>
        <v/>
      </c>
      <c r="P249" s="1"/>
      <c r="Q249" s="1"/>
      <c r="T249" s="1"/>
      <c r="U249" s="1"/>
    </row>
    <row r="250" spans="1:21" x14ac:dyDescent="0.25">
      <c r="A250">
        <v>5</v>
      </c>
      <c r="B250" t="s">
        <v>433</v>
      </c>
      <c r="C250" t="s">
        <v>434</v>
      </c>
      <c r="D250" s="1" t="s">
        <v>275</v>
      </c>
      <c r="E250" t="s">
        <v>45</v>
      </c>
      <c r="F250" t="s">
        <v>242</v>
      </c>
      <c r="G250" s="2" t="s">
        <v>241</v>
      </c>
      <c r="H250" t="s">
        <v>20</v>
      </c>
      <c r="J250" s="1"/>
      <c r="L250" s="1" t="s">
        <v>389</v>
      </c>
      <c r="M250" t="str">
        <f>IF(Fields[[#This Row],[Reference Entity]]&lt;&gt;"","t" &amp;Fields[[#This Row],[Reference Entity]],"")</f>
        <v/>
      </c>
      <c r="N250" t="str">
        <f>IF(Fields[[#This Row],[Reference Entity]]&lt;&gt;"",RIGHT(Fields[[#This Row],[Column Name]],LEN(Fields[[#This Row],[Column Name]])-2),"")</f>
        <v/>
      </c>
      <c r="P250" s="1"/>
      <c r="Q250" s="1"/>
      <c r="T250" s="1"/>
      <c r="U250" s="1"/>
    </row>
    <row r="251" spans="1:21" x14ac:dyDescent="0.25">
      <c r="A251">
        <v>1</v>
      </c>
      <c r="B251" t="s">
        <v>249</v>
      </c>
      <c r="C251" t="s">
        <v>5</v>
      </c>
      <c r="D251" s="1" t="s">
        <v>254</v>
      </c>
      <c r="E251" t="s">
        <v>498</v>
      </c>
      <c r="F251" t="s">
        <v>497</v>
      </c>
      <c r="G251" s="2"/>
      <c r="J251" s="1"/>
      <c r="L251" s="1" t="s">
        <v>148</v>
      </c>
      <c r="M251" t="str">
        <f>IF(Fields[[#This Row],[Reference Entity]]&lt;&gt;"","t" &amp;Fields[[#This Row],[Reference Entity]],"")</f>
        <v>tClient</v>
      </c>
      <c r="N251" t="str">
        <f>IF(Fields[[#This Row],[Reference Entity]]&lt;&gt;"",RIGHT(Fields[[#This Row],[Column Name]],LEN(Fields[[#This Row],[Column Name]])-2),"")</f>
        <v>Client</v>
      </c>
      <c r="O251" t="s">
        <v>143</v>
      </c>
      <c r="P251" s="1"/>
      <c r="Q251" t="s">
        <v>25</v>
      </c>
      <c r="R251" s="1" t="s">
        <v>20</v>
      </c>
      <c r="S251"/>
    </row>
    <row r="252" spans="1:21" ht="30" x14ac:dyDescent="0.25">
      <c r="A252">
        <v>2</v>
      </c>
      <c r="B252" t="s">
        <v>249</v>
      </c>
      <c r="C252" t="s">
        <v>326</v>
      </c>
      <c r="D252" s="1" t="s">
        <v>264</v>
      </c>
      <c r="E252" t="s">
        <v>19</v>
      </c>
      <c r="F252" t="s">
        <v>242</v>
      </c>
      <c r="G252" s="2">
        <v>1</v>
      </c>
      <c r="J252" s="1"/>
      <c r="K252" s="1" t="s">
        <v>583</v>
      </c>
      <c r="L252" s="1" t="s">
        <v>389</v>
      </c>
      <c r="M252" t="str">
        <f>IF(Fields[[#This Row],[Reference Entity]]&lt;&gt;"","t" &amp;Fields[[#This Row],[Reference Entity]],"")</f>
        <v/>
      </c>
      <c r="N252" t="str">
        <f>IF(Fields[[#This Row],[Reference Entity]]&lt;&gt;"",RIGHT(Fields[[#This Row],[Column Name]],LEN(Fields[[#This Row],[Column Name]])-2),"")</f>
        <v/>
      </c>
      <c r="P252" s="1"/>
      <c r="Q252" t="s">
        <v>25</v>
      </c>
      <c r="R252" s="1" t="s">
        <v>20</v>
      </c>
      <c r="S252"/>
    </row>
    <row r="253" spans="1:21" x14ac:dyDescent="0.25">
      <c r="A253">
        <v>3</v>
      </c>
      <c r="B253" t="s">
        <v>249</v>
      </c>
      <c r="C253" t="s">
        <v>317</v>
      </c>
      <c r="D253" s="1" t="s">
        <v>265</v>
      </c>
      <c r="E253" t="s">
        <v>19</v>
      </c>
      <c r="F253" t="s">
        <v>242</v>
      </c>
      <c r="G253" s="2">
        <v>50</v>
      </c>
      <c r="J253" s="1"/>
      <c r="L253" s="1" t="s">
        <v>389</v>
      </c>
      <c r="M253" t="str">
        <f>IF(Fields[[#This Row],[Reference Entity]]&lt;&gt;"","t" &amp;Fields[[#This Row],[Reference Entity]],"")</f>
        <v/>
      </c>
      <c r="N253" t="str">
        <f>IF(Fields[[#This Row],[Reference Entity]]&lt;&gt;"",RIGHT(Fields[[#This Row],[Column Name]],LEN(Fields[[#This Row],[Column Name]])-2),"")</f>
        <v/>
      </c>
      <c r="P253" s="1"/>
      <c r="Q253" s="1"/>
      <c r="T253" s="1"/>
      <c r="U253" s="1"/>
    </row>
    <row r="254" spans="1:21" x14ac:dyDescent="0.25">
      <c r="A254">
        <v>4</v>
      </c>
      <c r="B254" t="s">
        <v>249</v>
      </c>
      <c r="C254" t="s">
        <v>250</v>
      </c>
      <c r="D254" s="1" t="s">
        <v>266</v>
      </c>
      <c r="E254" t="s">
        <v>19</v>
      </c>
      <c r="F254" t="s">
        <v>242</v>
      </c>
      <c r="G254" s="2">
        <v>2</v>
      </c>
      <c r="H254" t="s">
        <v>20</v>
      </c>
      <c r="J254" s="1"/>
      <c r="L254" s="1" t="s">
        <v>389</v>
      </c>
      <c r="M254" t="str">
        <f>IF(Fields[[#This Row],[Reference Entity]]&lt;&gt;"","t" &amp;Fields[[#This Row],[Reference Entity]],"")</f>
        <v/>
      </c>
      <c r="N254" t="str">
        <f>IF(Fields[[#This Row],[Reference Entity]]&lt;&gt;"",RIGHT(Fields[[#This Row],[Column Name]],LEN(Fields[[#This Row],[Column Name]])-2),"")</f>
        <v/>
      </c>
      <c r="P254" s="1"/>
      <c r="Q254" t="s">
        <v>25</v>
      </c>
      <c r="R254" s="1" t="s">
        <v>20</v>
      </c>
      <c r="S254"/>
    </row>
    <row r="255" spans="1:21" ht="30" x14ac:dyDescent="0.25">
      <c r="A255">
        <v>5</v>
      </c>
      <c r="B255" t="s">
        <v>249</v>
      </c>
      <c r="C255" t="s">
        <v>251</v>
      </c>
      <c r="D255" s="1" t="s">
        <v>267</v>
      </c>
      <c r="E255" t="s">
        <v>16</v>
      </c>
      <c r="F255" t="s">
        <v>4</v>
      </c>
      <c r="G255" s="2"/>
      <c r="I255">
        <v>0</v>
      </c>
      <c r="J255" s="1"/>
      <c r="L255" s="1" t="s">
        <v>389</v>
      </c>
      <c r="M255" t="str">
        <f>IF(Fields[[#This Row],[Reference Entity]]&lt;&gt;"","t" &amp;Fields[[#This Row],[Reference Entity]],"")</f>
        <v/>
      </c>
      <c r="N255" t="str">
        <f>IF(Fields[[#This Row],[Reference Entity]]&lt;&gt;"",RIGHT(Fields[[#This Row],[Column Name]],LEN(Fields[[#This Row],[Column Name]])-2),"")</f>
        <v/>
      </c>
      <c r="P255" s="1"/>
      <c r="Q255" s="1"/>
      <c r="T255" s="1"/>
      <c r="U255" s="1"/>
    </row>
    <row r="256" spans="1:21" x14ac:dyDescent="0.25">
      <c r="A256">
        <v>6</v>
      </c>
      <c r="B256" t="s">
        <v>249</v>
      </c>
      <c r="C256" t="s">
        <v>252</v>
      </c>
      <c r="D256" s="1" t="s">
        <v>268</v>
      </c>
      <c r="E256" t="s">
        <v>18</v>
      </c>
      <c r="F256" t="s">
        <v>6</v>
      </c>
      <c r="G256" s="2"/>
      <c r="I256">
        <v>1</v>
      </c>
      <c r="J256" s="1"/>
      <c r="L256" s="1" t="s">
        <v>389</v>
      </c>
      <c r="M256" t="str">
        <f>IF(Fields[[#This Row],[Reference Entity]]&lt;&gt;"","t" &amp;Fields[[#This Row],[Reference Entity]],"")</f>
        <v/>
      </c>
      <c r="N256" t="str">
        <f>IF(Fields[[#This Row],[Reference Entity]]&lt;&gt;"",RIGHT(Fields[[#This Row],[Column Name]],LEN(Fields[[#This Row],[Column Name]])-2),"")</f>
        <v/>
      </c>
      <c r="P256" s="1"/>
      <c r="Q256" s="1"/>
      <c r="T256" s="1"/>
      <c r="U256" s="1"/>
    </row>
    <row r="257" spans="1:22" x14ac:dyDescent="0.25">
      <c r="A257">
        <v>7</v>
      </c>
      <c r="B257" t="s">
        <v>249</v>
      </c>
      <c r="C257" t="s">
        <v>253</v>
      </c>
      <c r="D257" s="1" t="s">
        <v>269</v>
      </c>
      <c r="E257" t="s">
        <v>124</v>
      </c>
      <c r="F257" t="s">
        <v>236</v>
      </c>
      <c r="G257" s="2"/>
      <c r="I257">
        <v>4</v>
      </c>
      <c r="J257" s="1"/>
      <c r="L257" s="1" t="s">
        <v>389</v>
      </c>
      <c r="M257" t="str">
        <f>IF(Fields[[#This Row],[Reference Entity]]&lt;&gt;"","t" &amp;Fields[[#This Row],[Reference Entity]],"")</f>
        <v/>
      </c>
      <c r="N257" t="str">
        <f>IF(Fields[[#This Row],[Reference Entity]]&lt;&gt;"",RIGHT(Fields[[#This Row],[Column Name]],LEN(Fields[[#This Row],[Column Name]])-2),"")</f>
        <v/>
      </c>
      <c r="P257" s="1"/>
      <c r="Q257" s="1"/>
      <c r="T257" s="1"/>
      <c r="U257" s="1"/>
    </row>
    <row r="258" spans="1:22" x14ac:dyDescent="0.25">
      <c r="A258">
        <v>1</v>
      </c>
      <c r="B258" t="s">
        <v>552</v>
      </c>
      <c r="C258" t="s">
        <v>553</v>
      </c>
      <c r="D258" s="1" t="s">
        <v>554</v>
      </c>
      <c r="E258" t="s">
        <v>498</v>
      </c>
      <c r="F258" t="s">
        <v>497</v>
      </c>
      <c r="G258" s="2"/>
      <c r="L258" s="1" t="s">
        <v>537</v>
      </c>
      <c r="M258" t="str">
        <f>IF(Fields[[#This Row],[Reference Entity]]&lt;&gt;"","t" &amp;Fields[[#This Row],[Reference Entity]],"")</f>
        <v>tUser</v>
      </c>
      <c r="N258" t="s">
        <v>555</v>
      </c>
      <c r="O258" t="s">
        <v>143</v>
      </c>
      <c r="P258" s="1"/>
      <c r="T258" s="1"/>
      <c r="U258" s="1"/>
    </row>
    <row r="259" spans="1:22" x14ac:dyDescent="0.25">
      <c r="A259">
        <v>2</v>
      </c>
      <c r="B259" t="s">
        <v>552</v>
      </c>
      <c r="C259" t="s">
        <v>5</v>
      </c>
      <c r="D259" s="1" t="s">
        <v>175</v>
      </c>
      <c r="E259" t="s">
        <v>498</v>
      </c>
      <c r="F259" t="s">
        <v>497</v>
      </c>
      <c r="G259" s="2"/>
      <c r="L259" s="1" t="s">
        <v>148</v>
      </c>
      <c r="M259" t="str">
        <f>IF(Fields[[#This Row],[Reference Entity]]&lt;&gt;"","t" &amp;Fields[[#This Row],[Reference Entity]],"")</f>
        <v>tClient</v>
      </c>
      <c r="N259" t="s">
        <v>556</v>
      </c>
      <c r="P259" s="1"/>
      <c r="T259" s="1"/>
      <c r="U259" s="1"/>
    </row>
    <row r="260" spans="1:22" x14ac:dyDescent="0.25">
      <c r="A260">
        <v>1</v>
      </c>
      <c r="B260" t="s">
        <v>496</v>
      </c>
      <c r="C260" t="s">
        <v>494</v>
      </c>
      <c r="D260" s="1"/>
      <c r="E260" t="s">
        <v>19</v>
      </c>
      <c r="F260" t="s">
        <v>497</v>
      </c>
      <c r="G260" s="2"/>
      <c r="I260" t="s">
        <v>495</v>
      </c>
      <c r="L260" s="1"/>
      <c r="M260" t="str">
        <f>IF(Fields[[#This Row],[Reference Entity]]&lt;&gt;"","t" &amp;Fields[[#This Row],[Reference Entity]],"")</f>
        <v/>
      </c>
      <c r="P260" s="1"/>
      <c r="T260" s="1"/>
      <c r="U260" s="1"/>
      <c r="V260" t="s">
        <v>476</v>
      </c>
    </row>
    <row r="261" spans="1:22" x14ac:dyDescent="0.25">
      <c r="A261">
        <v>1</v>
      </c>
      <c r="B261" t="s">
        <v>477</v>
      </c>
      <c r="C261" t="s">
        <v>482</v>
      </c>
      <c r="D261" s="1" t="s">
        <v>479</v>
      </c>
      <c r="E261" t="s">
        <v>498</v>
      </c>
      <c r="F261" t="s">
        <v>497</v>
      </c>
      <c r="G261" s="2"/>
      <c r="J261" s="1"/>
      <c r="L261" t="s">
        <v>475</v>
      </c>
      <c r="M261" t="str">
        <f>IF(Fields[[#This Row],[Reference Entity]]&lt;&gt;"","t" &amp;Fields[[#This Row],[Reference Entity]],"")</f>
        <v>tTypeGroupDef</v>
      </c>
      <c r="N261" t="str">
        <f>IF(Fields[[#This Row],[Reference Entity]]&lt;&gt;"",RIGHT(Fields[[#This Row],[Column Name]],LEN(Fields[[#This Row],[Column Name]])-2),"")</f>
        <v>TypeGroupDef</v>
      </c>
      <c r="O261" t="s">
        <v>143</v>
      </c>
      <c r="P261" s="1"/>
      <c r="S261"/>
      <c r="V261" t="s">
        <v>476</v>
      </c>
    </row>
    <row r="262" spans="1:22" x14ac:dyDescent="0.25">
      <c r="A262">
        <v>2</v>
      </c>
      <c r="B262" t="s">
        <v>477</v>
      </c>
      <c r="C262" t="s">
        <v>483</v>
      </c>
      <c r="D262" s="1" t="s">
        <v>485</v>
      </c>
      <c r="E262" t="s">
        <v>19</v>
      </c>
      <c r="F262" t="s">
        <v>242</v>
      </c>
      <c r="G262" s="2">
        <v>25</v>
      </c>
      <c r="J262" s="1"/>
      <c r="L262" s="1"/>
      <c r="M262" t="str">
        <f>IF(Fields[[#This Row],[Reference Entity]]&lt;&gt;"","t" &amp;Fields[[#This Row],[Reference Entity]],"")</f>
        <v/>
      </c>
      <c r="P262" s="1"/>
      <c r="Q262" t="s">
        <v>474</v>
      </c>
      <c r="R262" s="1" t="s">
        <v>20</v>
      </c>
      <c r="S262"/>
      <c r="V262" t="s">
        <v>476</v>
      </c>
    </row>
    <row r="263" spans="1:22" x14ac:dyDescent="0.25">
      <c r="A263">
        <v>3</v>
      </c>
      <c r="B263" t="s">
        <v>477</v>
      </c>
      <c r="C263" t="s">
        <v>480</v>
      </c>
      <c r="D263" s="1" t="s">
        <v>486</v>
      </c>
      <c r="E263" t="s">
        <v>30</v>
      </c>
      <c r="F263" t="s">
        <v>236</v>
      </c>
      <c r="G263" s="2"/>
      <c r="J263" s="1"/>
      <c r="L263" s="1"/>
      <c r="M263" t="str">
        <f>IF(Fields[[#This Row],[Reference Entity]]&lt;&gt;"","t" &amp;Fields[[#This Row],[Reference Entity]],"")</f>
        <v/>
      </c>
      <c r="P263" s="1"/>
      <c r="Q263" t="s">
        <v>474</v>
      </c>
      <c r="R263" s="1" t="s">
        <v>20</v>
      </c>
      <c r="S263"/>
      <c r="V263" t="s">
        <v>476</v>
      </c>
    </row>
    <row r="264" spans="1:22" x14ac:dyDescent="0.25">
      <c r="A264">
        <v>1</v>
      </c>
      <c r="B264" s="14" t="s">
        <v>478</v>
      </c>
      <c r="C264" t="s">
        <v>481</v>
      </c>
      <c r="D264" s="1" t="s">
        <v>484</v>
      </c>
      <c r="E264" t="s">
        <v>19</v>
      </c>
      <c r="F264" t="s">
        <v>242</v>
      </c>
      <c r="G264" s="2">
        <v>25</v>
      </c>
      <c r="J264" s="1"/>
      <c r="L264" s="1" t="s">
        <v>389</v>
      </c>
      <c r="M264" t="str">
        <f>IF(Fields[[#This Row],[Reference Entity]]&lt;&gt;"","t" &amp;Fields[[#This Row],[Reference Entity]],"")</f>
        <v/>
      </c>
      <c r="N264" t="str">
        <f>IF(Fields[[#This Row],[Reference Entity]]&lt;&gt;"",RIGHT(Fields[[#This Row],[Column Name]],LEN(Fields[[#This Row],[Column Name]])-2),"")</f>
        <v/>
      </c>
      <c r="P264" s="1"/>
      <c r="Q264" t="str">
        <f>Fields[[#This Row],[Column Name]]</f>
        <v>TypeGroupID</v>
      </c>
      <c r="R264" s="1" t="s">
        <v>20</v>
      </c>
      <c r="S264"/>
      <c r="V264" t="s">
        <v>476</v>
      </c>
    </row>
    <row r="265" spans="1:22" x14ac:dyDescent="0.25">
      <c r="A265">
        <v>1</v>
      </c>
      <c r="B265" s="14" t="s">
        <v>539</v>
      </c>
      <c r="C265" t="s">
        <v>540</v>
      </c>
      <c r="D265" s="1" t="s">
        <v>543</v>
      </c>
      <c r="E265" t="s">
        <v>19</v>
      </c>
      <c r="F265" t="s">
        <v>242</v>
      </c>
      <c r="G265" s="2">
        <v>255</v>
      </c>
      <c r="L265" s="1"/>
      <c r="M265" t="str">
        <f>IF(Fields[[#This Row],[Reference Entity]]&lt;&gt;"","t" &amp;Fields[[#This Row],[Reference Entity]],"")</f>
        <v/>
      </c>
      <c r="P265" s="1"/>
      <c r="T265" s="1"/>
      <c r="U265" s="1"/>
    </row>
    <row r="266" spans="1:22" x14ac:dyDescent="0.25">
      <c r="A266">
        <v>2</v>
      </c>
      <c r="B266" s="14" t="s">
        <v>539</v>
      </c>
      <c r="C266" t="s">
        <v>541</v>
      </c>
      <c r="D266" s="1" t="s">
        <v>544</v>
      </c>
      <c r="E266" t="s">
        <v>19</v>
      </c>
      <c r="F266" t="s">
        <v>242</v>
      </c>
      <c r="G266" s="2">
        <v>30</v>
      </c>
      <c r="L266" s="1"/>
      <c r="M266" t="str">
        <f>IF(Fields[[#This Row],[Reference Entity]]&lt;&gt;"","t" &amp;Fields[[#This Row],[Reference Entity]],"")</f>
        <v/>
      </c>
      <c r="P266" s="1"/>
      <c r="T266" s="1"/>
      <c r="U266" s="1"/>
    </row>
    <row r="267" spans="1:22" x14ac:dyDescent="0.25">
      <c r="A267">
        <v>3</v>
      </c>
      <c r="B267" s="14" t="s">
        <v>539</v>
      </c>
      <c r="C267" t="s">
        <v>542</v>
      </c>
      <c r="D267" s="1" t="s">
        <v>545</v>
      </c>
      <c r="E267" t="s">
        <v>19</v>
      </c>
      <c r="F267" t="s">
        <v>242</v>
      </c>
      <c r="G267" s="2">
        <v>48</v>
      </c>
      <c r="L267" s="1"/>
      <c r="M267" t="str">
        <f>IF(Fields[[#This Row],[Reference Entity]]&lt;&gt;"","t" &amp;Fields[[#This Row],[Reference Entity]],"")</f>
        <v/>
      </c>
      <c r="P267" s="1"/>
      <c r="T267" s="1"/>
      <c r="U267" s="1"/>
    </row>
    <row r="268" spans="1:22" x14ac:dyDescent="0.25">
      <c r="A268">
        <v>4</v>
      </c>
      <c r="B268" s="14" t="s">
        <v>539</v>
      </c>
      <c r="C268" t="s">
        <v>547</v>
      </c>
      <c r="D268" s="1" t="s">
        <v>546</v>
      </c>
      <c r="E268" t="s">
        <v>498</v>
      </c>
      <c r="F268" t="s">
        <v>497</v>
      </c>
      <c r="G268" s="2"/>
      <c r="L268" s="1" t="s">
        <v>148</v>
      </c>
      <c r="M268" t="str">
        <f>IF(Fields[[#This Row],[Reference Entity]]&lt;&gt;"","t" &amp;Fields[[#This Row],[Reference Entity]],"")</f>
        <v>tClient</v>
      </c>
      <c r="N268" t="s">
        <v>548</v>
      </c>
      <c r="P268" s="1"/>
      <c r="T268" s="1"/>
      <c r="U268" s="1"/>
    </row>
    <row r="269" spans="1:22" x14ac:dyDescent="0.25">
      <c r="A269">
        <v>5</v>
      </c>
      <c r="B269" s="14" t="s">
        <v>539</v>
      </c>
      <c r="C269" t="s">
        <v>557</v>
      </c>
      <c r="D269" s="1"/>
      <c r="E269" t="s">
        <v>124</v>
      </c>
      <c r="F269" t="s">
        <v>236</v>
      </c>
      <c r="G269" s="2"/>
      <c r="I269">
        <v>0</v>
      </c>
      <c r="K269" s="1" t="s">
        <v>557</v>
      </c>
      <c r="L269" s="1"/>
      <c r="M269" t="str">
        <f>IF(Fields[[#This Row],[Reference Entity]]&lt;&gt;"","t" &amp;Fields[[#This Row],[Reference Entity]],"")</f>
        <v/>
      </c>
      <c r="P269" s="1"/>
      <c r="T269" s="1"/>
      <c r="U269" s="1"/>
    </row>
    <row r="270" spans="1:22" x14ac:dyDescent="0.25">
      <c r="A270">
        <v>6</v>
      </c>
      <c r="B270" t="s">
        <v>539</v>
      </c>
      <c r="C270" t="s">
        <v>773</v>
      </c>
      <c r="D270" s="1"/>
      <c r="E270" t="s">
        <v>19</v>
      </c>
      <c r="F270" t="s">
        <v>242</v>
      </c>
      <c r="G270" s="2">
        <v>255</v>
      </c>
      <c r="H270" t="s">
        <v>20</v>
      </c>
      <c r="L270" s="1"/>
      <c r="M270" t="str">
        <f>IF(Fields[[#This Row],[Reference Entity]]&lt;&gt;"","t" &amp;Fields[[#This Row],[Reference Entity]],"")</f>
        <v/>
      </c>
      <c r="P270" s="1"/>
      <c r="T270" s="1"/>
      <c r="U270" s="1"/>
    </row>
    <row r="271" spans="1:22" x14ac:dyDescent="0.25">
      <c r="A271">
        <v>7</v>
      </c>
      <c r="B271" t="s">
        <v>539</v>
      </c>
      <c r="C271" t="s">
        <v>774</v>
      </c>
      <c r="D271" s="1"/>
      <c r="E271" t="s">
        <v>19</v>
      </c>
      <c r="F271" t="s">
        <v>242</v>
      </c>
      <c r="G271" s="2">
        <v>255</v>
      </c>
      <c r="H271" t="s">
        <v>20</v>
      </c>
      <c r="L271" s="1"/>
      <c r="M271" t="str">
        <f>IF(Fields[[#This Row],[Reference Entity]]&lt;&gt;"","t" &amp;Fields[[#This Row],[Reference Entity]],"")</f>
        <v/>
      </c>
      <c r="P271" s="1"/>
      <c r="T271" s="1"/>
      <c r="U271" s="1"/>
    </row>
    <row r="272" spans="1:22" x14ac:dyDescent="0.25">
      <c r="A272">
        <v>1</v>
      </c>
      <c r="B272" t="s">
        <v>64</v>
      </c>
      <c r="C272" t="s">
        <v>5</v>
      </c>
      <c r="D272" s="1" t="s">
        <v>254</v>
      </c>
      <c r="E272" t="s">
        <v>498</v>
      </c>
      <c r="F272" t="s">
        <v>497</v>
      </c>
      <c r="G272" s="2"/>
      <c r="J272" s="1"/>
      <c r="L272" s="1" t="s">
        <v>148</v>
      </c>
      <c r="M272" t="str">
        <f>IF(Fields[[#This Row],[Reference Entity]]&lt;&gt;"","t" &amp;Fields[[#This Row],[Reference Entity]],"")</f>
        <v>tClient</v>
      </c>
      <c r="N272" t="str">
        <f>IF(Fields[[#This Row],[Reference Entity]]&lt;&gt;"",RIGHT(Fields[[#This Row],[Column Name]],LEN(Fields[[#This Row],[Column Name]])-2),"")</f>
        <v>Client</v>
      </c>
      <c r="O272" t="s">
        <v>143</v>
      </c>
      <c r="P272" s="1"/>
      <c r="Q272" t="s">
        <v>25</v>
      </c>
      <c r="R272" s="1" t="s">
        <v>20</v>
      </c>
      <c r="S272"/>
    </row>
    <row r="273" spans="1:22" x14ac:dyDescent="0.25">
      <c r="A273">
        <v>2</v>
      </c>
      <c r="B273" t="s">
        <v>64</v>
      </c>
      <c r="C273" t="s">
        <v>243</v>
      </c>
      <c r="D273" s="1" t="s">
        <v>255</v>
      </c>
      <c r="E273" t="s">
        <v>498</v>
      </c>
      <c r="F273" t="s">
        <v>497</v>
      </c>
      <c r="G273" s="2"/>
      <c r="J273" s="1"/>
      <c r="L273" s="1" t="s">
        <v>339</v>
      </c>
      <c r="M273" t="str">
        <f>IF(Fields[[#This Row],[Reference Entity]]&lt;&gt;"","t" &amp;Fields[[#This Row],[Reference Entity]],"")</f>
        <v>tAccount</v>
      </c>
      <c r="N273" t="str">
        <f>IF(Fields[[#This Row],[Reference Entity]]&lt;&gt;"",RIGHT(Fields[[#This Row],[Column Name]],LEN(Fields[[#This Row],[Column Name]])-2),"")</f>
        <v>AccountVATInput</v>
      </c>
      <c r="P273" s="1"/>
      <c r="Q273" t="str">
        <f>Fields[[#This Row],[Column Name]]</f>
        <v>idAccountVATInput</v>
      </c>
      <c r="S273"/>
      <c r="U273" t="s">
        <v>382</v>
      </c>
    </row>
    <row r="274" spans="1:22" x14ac:dyDescent="0.25">
      <c r="A274">
        <v>3</v>
      </c>
      <c r="B274" t="s">
        <v>64</v>
      </c>
      <c r="C274" t="s">
        <v>244</v>
      </c>
      <c r="D274" s="1" t="s">
        <v>256</v>
      </c>
      <c r="E274" t="s">
        <v>498</v>
      </c>
      <c r="F274" t="s">
        <v>497</v>
      </c>
      <c r="G274" s="2"/>
      <c r="J274" s="1"/>
      <c r="L274" s="1" t="s">
        <v>339</v>
      </c>
      <c r="M274" t="str">
        <f>IF(Fields[[#This Row],[Reference Entity]]&lt;&gt;"","t" &amp;Fields[[#This Row],[Reference Entity]],"")</f>
        <v>tAccount</v>
      </c>
      <c r="N274" t="str">
        <f>IF(Fields[[#This Row],[Reference Entity]]&lt;&gt;"",RIGHT(Fields[[#This Row],[Column Name]],LEN(Fields[[#This Row],[Column Name]])-2),"")</f>
        <v>AccountVATOutput</v>
      </c>
      <c r="P274" s="1"/>
      <c r="Q274" t="str">
        <f>Fields[[#This Row],[Column Name]]</f>
        <v>idAccountVATOutput</v>
      </c>
      <c r="S274"/>
      <c r="U274" t="s">
        <v>383</v>
      </c>
    </row>
    <row r="275" spans="1:22" x14ac:dyDescent="0.25">
      <c r="A275">
        <v>4</v>
      </c>
      <c r="B275" t="s">
        <v>64</v>
      </c>
      <c r="C275" t="s">
        <v>499</v>
      </c>
      <c r="D275" s="1" t="s">
        <v>592</v>
      </c>
      <c r="E275" t="s">
        <v>498</v>
      </c>
      <c r="F275" t="s">
        <v>497</v>
      </c>
      <c r="G275" s="2"/>
      <c r="H275" t="s">
        <v>20</v>
      </c>
      <c r="J275" s="1"/>
      <c r="L275" s="1" t="s">
        <v>339</v>
      </c>
      <c r="M275" t="str">
        <f>IF(Fields[[#This Row],[Reference Entity]]&lt;&gt;"","t" &amp;Fields[[#This Row],[Reference Entity]],"")</f>
        <v>tAccount</v>
      </c>
      <c r="N275" t="s">
        <v>500</v>
      </c>
      <c r="P275" s="1"/>
      <c r="Q275" t="s">
        <v>501</v>
      </c>
      <c r="S275"/>
      <c r="U275" t="s">
        <v>502</v>
      </c>
      <c r="V275" t="s">
        <v>476</v>
      </c>
    </row>
    <row r="276" spans="1:22" x14ac:dyDescent="0.25">
      <c r="A276">
        <v>5</v>
      </c>
      <c r="B276" t="s">
        <v>64</v>
      </c>
      <c r="C276" t="s">
        <v>291</v>
      </c>
      <c r="D276" s="1" t="s">
        <v>262</v>
      </c>
      <c r="E276" t="s">
        <v>19</v>
      </c>
      <c r="F276" t="s">
        <v>242</v>
      </c>
      <c r="G276" s="2">
        <v>5</v>
      </c>
      <c r="H276" t="s">
        <v>20</v>
      </c>
      <c r="J276" s="1"/>
      <c r="L276" s="1" t="s">
        <v>389</v>
      </c>
      <c r="M276" t="str">
        <f>IF(Fields[[#This Row],[Reference Entity]]&lt;&gt;"","t" &amp;Fields[[#This Row],[Reference Entity]],"")</f>
        <v/>
      </c>
      <c r="N276" t="str">
        <f>IF(Fields[[#This Row],[Reference Entity]]&lt;&gt;"",RIGHT(Fields[[#This Row],[Column Name]],LEN(Fields[[#This Row],[Column Name]])-2),"")</f>
        <v/>
      </c>
      <c r="P276" s="1"/>
      <c r="Q276" t="s">
        <v>25</v>
      </c>
      <c r="R276" s="1" t="s">
        <v>20</v>
      </c>
      <c r="S276"/>
    </row>
    <row r="277" spans="1:22" x14ac:dyDescent="0.25">
      <c r="A277">
        <v>6</v>
      </c>
      <c r="B277" s="10" t="s">
        <v>64</v>
      </c>
      <c r="C277" t="s">
        <v>316</v>
      </c>
      <c r="D277" s="1" t="s">
        <v>263</v>
      </c>
      <c r="E277" t="s">
        <v>19</v>
      </c>
      <c r="F277" t="s">
        <v>242</v>
      </c>
      <c r="G277" s="2">
        <v>50</v>
      </c>
      <c r="J277" s="1"/>
      <c r="L277" s="1" t="s">
        <v>389</v>
      </c>
      <c r="M277" t="str">
        <f>IF(Fields[[#This Row],[Reference Entity]]&lt;&gt;"","t" &amp;Fields[[#This Row],[Reference Entity]],"")</f>
        <v/>
      </c>
      <c r="N277" t="str">
        <f>IF(Fields[[#This Row],[Reference Entity]]&lt;&gt;"",RIGHT(Fields[[#This Row],[Column Name]],LEN(Fields[[#This Row],[Column Name]])-2),"")</f>
        <v/>
      </c>
      <c r="P277" s="1"/>
      <c r="Q277" s="1"/>
      <c r="T277" s="1"/>
      <c r="U277" s="1"/>
    </row>
    <row r="278" spans="1:22" x14ac:dyDescent="0.25">
      <c r="A278">
        <v>7</v>
      </c>
      <c r="B278" s="10" t="s">
        <v>64</v>
      </c>
      <c r="C278" t="s">
        <v>245</v>
      </c>
      <c r="D278" s="1" t="s">
        <v>258</v>
      </c>
      <c r="E278" t="s">
        <v>60</v>
      </c>
      <c r="F278" t="s">
        <v>237</v>
      </c>
      <c r="G278" s="2"/>
      <c r="J278" s="1"/>
      <c r="L278" s="1" t="s">
        <v>389</v>
      </c>
      <c r="M278" t="str">
        <f>IF(Fields[[#This Row],[Reference Entity]]&lt;&gt;"","t" &amp;Fields[[#This Row],[Reference Entity]],"")</f>
        <v/>
      </c>
      <c r="N278" t="str">
        <f>IF(Fields[[#This Row],[Reference Entity]]&lt;&gt;"",RIGHT(Fields[[#This Row],[Column Name]],LEN(Fields[[#This Row],[Column Name]])-2),"")</f>
        <v/>
      </c>
      <c r="P278" s="1"/>
      <c r="Q278" s="1"/>
      <c r="T278" s="1"/>
      <c r="U278" s="1"/>
    </row>
    <row r="279" spans="1:22" x14ac:dyDescent="0.25">
      <c r="A279">
        <v>8</v>
      </c>
      <c r="B279" s="10" t="s">
        <v>64</v>
      </c>
      <c r="C279" t="s">
        <v>503</v>
      </c>
      <c r="D279" s="1"/>
      <c r="E279" t="s">
        <v>30</v>
      </c>
      <c r="F279" t="s">
        <v>4</v>
      </c>
      <c r="G279" s="2"/>
      <c r="J279" s="1"/>
      <c r="L279" s="1"/>
      <c r="M279" t="str">
        <f>IF(Fields[[#This Row],[Reference Entity]]&lt;&gt;"","t" &amp;Fields[[#This Row],[Reference Entity]],"")</f>
        <v/>
      </c>
      <c r="P279" s="1"/>
      <c r="Q279" s="1"/>
      <c r="T279" s="1"/>
      <c r="U279" s="1"/>
    </row>
    <row r="280" spans="1:22" x14ac:dyDescent="0.25">
      <c r="A280">
        <v>9</v>
      </c>
      <c r="B280" s="10" t="s">
        <v>64</v>
      </c>
      <c r="C280" t="s">
        <v>246</v>
      </c>
      <c r="D280" s="1" t="s">
        <v>259</v>
      </c>
      <c r="E280" t="s">
        <v>17</v>
      </c>
      <c r="F280" t="s">
        <v>395</v>
      </c>
      <c r="G280" s="2"/>
      <c r="H280" t="s">
        <v>20</v>
      </c>
      <c r="J280" s="1"/>
      <c r="L280" s="1" t="s">
        <v>389</v>
      </c>
      <c r="M280" t="str">
        <f>IF(Fields[[#This Row],[Reference Entity]]&lt;&gt;"","t" &amp;Fields[[#This Row],[Reference Entity]],"")</f>
        <v/>
      </c>
      <c r="N280" t="str">
        <f>IF(Fields[[#This Row],[Reference Entity]]&lt;&gt;"",RIGHT(Fields[[#This Row],[Column Name]],LEN(Fields[[#This Row],[Column Name]])-2),"")</f>
        <v/>
      </c>
      <c r="P280" s="1"/>
      <c r="Q280" s="1"/>
      <c r="T280" s="1"/>
      <c r="U280" s="1"/>
    </row>
    <row r="281" spans="1:22" x14ac:dyDescent="0.25">
      <c r="A281">
        <v>10</v>
      </c>
      <c r="B281" s="10" t="s">
        <v>64</v>
      </c>
      <c r="C281" t="s">
        <v>247</v>
      </c>
      <c r="D281" s="1" t="s">
        <v>260</v>
      </c>
      <c r="E281" t="s">
        <v>60</v>
      </c>
      <c r="F281" t="s">
        <v>237</v>
      </c>
      <c r="G281" s="2"/>
      <c r="H281" t="s">
        <v>20</v>
      </c>
      <c r="J281" s="1"/>
      <c r="L281" s="1" t="s">
        <v>389</v>
      </c>
      <c r="M281" t="str">
        <f>IF(Fields[[#This Row],[Reference Entity]]&lt;&gt;"","t" &amp;Fields[[#This Row],[Reference Entity]],"")</f>
        <v/>
      </c>
      <c r="N281" t="str">
        <f>IF(Fields[[#This Row],[Reference Entity]]&lt;&gt;"",RIGHT(Fields[[#This Row],[Column Name]],LEN(Fields[[#This Row],[Column Name]])-2),"")</f>
        <v/>
      </c>
      <c r="P281" s="1"/>
      <c r="Q281" s="1"/>
      <c r="T281" s="1"/>
      <c r="U281" s="1"/>
    </row>
    <row r="282" spans="1:22" ht="30" x14ac:dyDescent="0.25">
      <c r="A282">
        <v>11</v>
      </c>
      <c r="B282" s="10" t="s">
        <v>64</v>
      </c>
      <c r="C282" t="s">
        <v>257</v>
      </c>
      <c r="D282" s="1" t="s">
        <v>261</v>
      </c>
      <c r="E282" t="s">
        <v>18</v>
      </c>
      <c r="F282" t="s">
        <v>6</v>
      </c>
      <c r="G282" s="2"/>
      <c r="I282">
        <v>0</v>
      </c>
      <c r="J282" s="1"/>
      <c r="L282" s="1" t="s">
        <v>389</v>
      </c>
      <c r="M282" t="str">
        <f>IF(Fields[[#This Row],[Reference Entity]]&lt;&gt;"","t" &amp;Fields[[#This Row],[Reference Entity]],"")</f>
        <v/>
      </c>
      <c r="N282" t="str">
        <f>IF(Fields[[#This Row],[Reference Entity]]&lt;&gt;"",RIGHT(Fields[[#This Row],[Column Name]],LEN(Fields[[#This Row],[Column Name]])-2),"")</f>
        <v/>
      </c>
      <c r="P282" s="1"/>
      <c r="Q282" s="1"/>
      <c r="T282" s="1"/>
      <c r="U282" s="1"/>
    </row>
  </sheetData>
  <dataValidations count="2">
    <dataValidation type="list" allowBlank="1" showInputMessage="1" showErrorMessage="1" sqref="R2:R282 H2:H282" xr:uid="{495B4725-4939-4EB2-85B4-CFC1349C9CC1}">
      <formula1>"Yes"</formula1>
    </dataValidation>
    <dataValidation type="list" allowBlank="1" showInputMessage="1" showErrorMessage="1" sqref="F2:F282" xr:uid="{43996FCD-BD43-45E1-B0C6-48ACDBB86BE6}">
      <formula1>ListSQLTypes</formula1>
    </dataValidation>
  </dataValidations>
  <pageMargins left="0.7" right="0.7" top="0.78740157499999996" bottom="0.78740157499999996"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649EED2-04B6-47DB-8428-EFCA8AE5A4CB}">
          <x14:formula1>
            <xm:f>Lists!$C$2:$C$3</xm:f>
          </x14:formula1>
          <xm:sqref>O2:O282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E41F4-C0BE-427F-B56D-1149F2DA66D9}">
  <sheetPr codeName="Tabelle5"/>
  <dimension ref="A1:D55"/>
  <sheetViews>
    <sheetView topLeftCell="A38" workbookViewId="0">
      <selection activeCell="D52" sqref="D52:D55"/>
    </sheetView>
  </sheetViews>
  <sheetFormatPr baseColWidth="10" defaultRowHeight="15" x14ac:dyDescent="0.25"/>
  <cols>
    <col min="1" max="1" width="16.7109375" bestFit="1" customWidth="1"/>
    <col min="2" max="2" width="12.140625" bestFit="1" customWidth="1"/>
    <col min="3" max="3" width="7.85546875" bestFit="1" customWidth="1"/>
    <col min="4" max="4" width="26.5703125" bestFit="1" customWidth="1"/>
  </cols>
  <sheetData>
    <row r="1" spans="1:4" x14ac:dyDescent="0.25">
      <c r="A1" t="s">
        <v>437</v>
      </c>
      <c r="B1" t="s">
        <v>438</v>
      </c>
      <c r="C1" t="s">
        <v>25</v>
      </c>
      <c r="D1" t="s">
        <v>446</v>
      </c>
    </row>
    <row r="2" spans="1:4" x14ac:dyDescent="0.25">
      <c r="A2" t="s">
        <v>324</v>
      </c>
      <c r="B2" t="s">
        <v>444</v>
      </c>
      <c r="C2">
        <v>0</v>
      </c>
      <c r="D2" t="str">
        <f>Tabelle6[[#This Row],[Title]] &amp; " = "&amp;Tabelle6[[#This Row],[Code]]&amp;IF(A3=Tabelle6[[#This Row],[Type Name]],",","")</f>
        <v>BookingRule = 0,</v>
      </c>
    </row>
    <row r="3" spans="1:4" x14ac:dyDescent="0.25">
      <c r="A3" t="s">
        <v>324</v>
      </c>
      <c r="B3" t="s">
        <v>593</v>
      </c>
      <c r="C3">
        <v>1</v>
      </c>
      <c r="D3" t="str">
        <f>Tabelle6[[#This Row],[Title]] &amp; " = "&amp;Tabelle6[[#This Row],[Code]]&amp;IF(A4=Tabelle6[[#This Row],[Type Name]],",","")</f>
        <v>Purchase = 1,</v>
      </c>
    </row>
    <row r="4" spans="1:4" x14ac:dyDescent="0.25">
      <c r="A4" t="s">
        <v>324</v>
      </c>
      <c r="B4" t="s">
        <v>711</v>
      </c>
      <c r="C4">
        <v>2</v>
      </c>
      <c r="D4" t="str">
        <f>Tabelle6[[#This Row],[Title]] &amp; " = "&amp;Tabelle6[[#This Row],[Code]]&amp;IF(A5=Tabelle6[[#This Row],[Type Name]],",","")</f>
        <v>HR = 2,</v>
      </c>
    </row>
    <row r="5" spans="1:4" x14ac:dyDescent="0.25">
      <c r="A5" t="s">
        <v>324</v>
      </c>
      <c r="B5" t="s">
        <v>651</v>
      </c>
      <c r="C5">
        <v>3</v>
      </c>
      <c r="D5" t="str">
        <f>Tabelle6[[#This Row],[Title]] &amp; " = "&amp;Tabelle6[[#This Row],[Code]]&amp;IF(A6=Tabelle6[[#This Row],[Type Name]],",","")</f>
        <v>Sale = 3,</v>
      </c>
    </row>
    <row r="6" spans="1:4" x14ac:dyDescent="0.25">
      <c r="A6" t="s">
        <v>324</v>
      </c>
      <c r="B6" t="s">
        <v>652</v>
      </c>
      <c r="C6">
        <v>4</v>
      </c>
      <c r="D6" t="str">
        <f>Tabelle6[[#This Row],[Title]] &amp; " = "&amp;Tabelle6[[#This Row],[Code]]&amp;IF(A7=Tabelle6[[#This Row],[Type Name]],",","")</f>
        <v>Loan = 4</v>
      </c>
    </row>
    <row r="7" spans="1:4" x14ac:dyDescent="0.25">
      <c r="A7" t="s">
        <v>139</v>
      </c>
      <c r="B7" t="s">
        <v>440</v>
      </c>
      <c r="C7">
        <v>-1</v>
      </c>
      <c r="D7" t="str">
        <f>Tabelle6[[#This Row],[Title]] &amp; " = "&amp;Tabelle6[[#This Row],[Code]]&amp;IF(A8=Tabelle6[[#This Row],[Type Name]],",","")</f>
        <v>Schedule = -1,</v>
      </c>
    </row>
    <row r="8" spans="1:4" x14ac:dyDescent="0.25">
      <c r="A8" t="s">
        <v>139</v>
      </c>
      <c r="B8" t="s">
        <v>439</v>
      </c>
      <c r="C8">
        <v>0</v>
      </c>
      <c r="D8" t="str">
        <f>Tabelle6[[#This Row],[Title]] &amp; " = "&amp;Tabelle6[[#This Row],[Code]]&amp;IF(A9=Tabelle6[[#This Row],[Type Name]],",","")</f>
        <v>NoRepeat = 0,</v>
      </c>
    </row>
    <row r="9" spans="1:4" x14ac:dyDescent="0.25">
      <c r="A9" t="s">
        <v>139</v>
      </c>
      <c r="B9" t="s">
        <v>441</v>
      </c>
      <c r="C9">
        <v>1</v>
      </c>
      <c r="D9" t="str">
        <f>Tabelle6[[#This Row],[Title]] &amp; " = "&amp;Tabelle6[[#This Row],[Code]]&amp;IF(A10=Tabelle6[[#This Row],[Type Name]],",","")</f>
        <v>Monthly = 1,</v>
      </c>
    </row>
    <row r="10" spans="1:4" x14ac:dyDescent="0.25">
      <c r="A10" t="s">
        <v>139</v>
      </c>
      <c r="B10" t="s">
        <v>442</v>
      </c>
      <c r="C10">
        <v>3</v>
      </c>
      <c r="D10" t="str">
        <f>Tabelle6[[#This Row],[Title]] &amp; " = "&amp;Tabelle6[[#This Row],[Code]]&amp;IF(A11=Tabelle6[[#This Row],[Type Name]],",","")</f>
        <v>Quarterly = 3,</v>
      </c>
    </row>
    <row r="11" spans="1:4" x14ac:dyDescent="0.25">
      <c r="A11" t="s">
        <v>139</v>
      </c>
      <c r="B11" t="s">
        <v>443</v>
      </c>
      <c r="C11">
        <v>12</v>
      </c>
      <c r="D11" t="str">
        <f>Tabelle6[[#This Row],[Title]] &amp; " = "&amp;Tabelle6[[#This Row],[Code]]&amp;IF(A12=Tabelle6[[#This Row],[Type Name]],",","")</f>
        <v>Annually = 12</v>
      </c>
    </row>
    <row r="12" spans="1:4" x14ac:dyDescent="0.25">
      <c r="A12" t="s">
        <v>322</v>
      </c>
      <c r="B12" s="5" t="s">
        <v>448</v>
      </c>
      <c r="C12" s="5">
        <v>0</v>
      </c>
      <c r="D12" t="str">
        <f>Tabelle6[[#This Row],[Title]] &amp; " = "&amp;Tabelle6[[#This Row],[Code]]&amp;IF(A13=Tabelle6[[#This Row],[Type Name]],",","")</f>
        <v>Actual = 0,</v>
      </c>
    </row>
    <row r="13" spans="1:4" x14ac:dyDescent="0.25">
      <c r="A13" t="s">
        <v>322</v>
      </c>
      <c r="B13" t="s">
        <v>447</v>
      </c>
      <c r="C13">
        <v>1</v>
      </c>
      <c r="D13" t="str">
        <f>Tabelle6[[#This Row],[Title]] &amp; " = "&amp;Tabelle6[[#This Row],[Code]]&amp;IF(A14=Tabelle6[[#This Row],[Type Name]],",","")</f>
        <v>Baseline = 1,</v>
      </c>
    </row>
    <row r="14" spans="1:4" x14ac:dyDescent="0.25">
      <c r="A14" t="s">
        <v>322</v>
      </c>
      <c r="B14" t="s">
        <v>346</v>
      </c>
      <c r="C14">
        <v>2</v>
      </c>
      <c r="D14" t="str">
        <f>Tabelle6[[#This Row],[Title]] &amp; " = "&amp;Tabelle6[[#This Row],[Code]]&amp;IF(A15=Tabelle6[[#This Row],[Type Name]],",","")</f>
        <v>Plan = 2</v>
      </c>
    </row>
    <row r="15" spans="1:4" x14ac:dyDescent="0.25">
      <c r="A15" t="s">
        <v>325</v>
      </c>
      <c r="B15" s="1" t="s">
        <v>451</v>
      </c>
      <c r="C15">
        <v>0</v>
      </c>
      <c r="D15" t="str">
        <f>Tabelle6[[#This Row],[Title]] &amp; " = "&amp;Tabelle6[[#This Row],[Code]]&amp;IF(A16=Tabelle6[[#This Row],[Type Name]],",","")</f>
        <v>PriceFactor = 0,</v>
      </c>
    </row>
    <row r="16" spans="1:4" x14ac:dyDescent="0.25">
      <c r="A16" t="s">
        <v>325</v>
      </c>
      <c r="B16" t="s">
        <v>452</v>
      </c>
      <c r="C16">
        <v>10</v>
      </c>
      <c r="D16" t="str">
        <f>Tabelle6[[#This Row],[Title]] &amp; " = "&amp;Tabelle6[[#This Row],[Code]]&amp;IF(A17=Tabelle6[[#This Row],[Type Name]],",","")</f>
        <v>TriggerDate = 10,</v>
      </c>
    </row>
    <row r="17" spans="1:4" x14ac:dyDescent="0.25">
      <c r="A17" t="s">
        <v>325</v>
      </c>
      <c r="B17" t="s">
        <v>69</v>
      </c>
      <c r="C17">
        <v>20</v>
      </c>
      <c r="D17" t="str">
        <f>Tabelle6[[#This Row],[Title]] &amp; " = "&amp;Tabelle6[[#This Row],[Code]]&amp;IF(A18=Tabelle6[[#This Row],[Type Name]],",","")</f>
        <v>ContingencyRate = 20</v>
      </c>
    </row>
    <row r="18" spans="1:4" ht="30" x14ac:dyDescent="0.25">
      <c r="A18" s="1" t="s">
        <v>488</v>
      </c>
      <c r="B18" t="s">
        <v>489</v>
      </c>
      <c r="C18">
        <v>1</v>
      </c>
      <c r="D18" t="str">
        <f>Tabelle6[[#This Row],[Title]] &amp; " = "&amp;Tabelle6[[#This Row],[Code]]&amp;IF(A19=Tabelle6[[#This Row],[Type Name]],",","")</f>
        <v>Cash = 1,</v>
      </c>
    </row>
    <row r="19" spans="1:4" ht="30" x14ac:dyDescent="0.25">
      <c r="A19" s="1" t="s">
        <v>488</v>
      </c>
      <c r="B19" t="s">
        <v>490</v>
      </c>
      <c r="C19">
        <v>2</v>
      </c>
      <c r="D19" t="str">
        <f>Tabelle6[[#This Row],[Title]] &amp; " = "&amp;Tabelle6[[#This Row],[Code]]&amp;IF(A20=Tabelle6[[#This Row],[Type Name]],",","")</f>
        <v>CashDefault = 2,</v>
      </c>
    </row>
    <row r="20" spans="1:4" ht="30" x14ac:dyDescent="0.25">
      <c r="A20" s="1" t="s">
        <v>488</v>
      </c>
      <c r="B20" t="s">
        <v>492</v>
      </c>
      <c r="C20">
        <v>3</v>
      </c>
      <c r="D20" t="str">
        <f>Tabelle6[[#This Row],[Title]] &amp; " = "&amp;Tabelle6[[#This Row],[Code]]&amp;IF(A21=Tabelle6[[#This Row],[Type Name]],",","")</f>
        <v>Payables = 3,</v>
      </c>
    </row>
    <row r="21" spans="1:4" x14ac:dyDescent="0.25">
      <c r="A21" t="s">
        <v>488</v>
      </c>
      <c r="B21" t="s">
        <v>491</v>
      </c>
      <c r="C21">
        <v>4</v>
      </c>
      <c r="D21" t="str">
        <f>Tabelle6[[#This Row],[Title]] &amp; " = "&amp;Tabelle6[[#This Row],[Code]]&amp;IF(A22=Tabelle6[[#This Row],[Type Name]],",","")</f>
        <v>PayablesDefault = 4,</v>
      </c>
    </row>
    <row r="22" spans="1:4" x14ac:dyDescent="0.25">
      <c r="A22" t="s">
        <v>488</v>
      </c>
      <c r="B22" t="s">
        <v>570</v>
      </c>
      <c r="C22">
        <v>5</v>
      </c>
      <c r="D22" t="str">
        <f>Tabelle6[[#This Row],[Title]] &amp; " = "&amp;Tabelle6[[#This Row],[Code]]&amp;IF(A23=Tabelle6[[#This Row],[Type Name]],",","")</f>
        <v>AdvanceReceived = 5,</v>
      </c>
    </row>
    <row r="23" spans="1:4" x14ac:dyDescent="0.25">
      <c r="A23" t="s">
        <v>488</v>
      </c>
      <c r="B23" t="s">
        <v>571</v>
      </c>
      <c r="C23">
        <v>6</v>
      </c>
      <c r="D23" t="str">
        <f>Tabelle6[[#This Row],[Title]] &amp; " = "&amp;Tabelle6[[#This Row],[Code]]&amp;IF(A24=Tabelle6[[#This Row],[Type Name]],",","")</f>
        <v>AdvanceReceivedDefault = 6</v>
      </c>
    </row>
    <row r="24" spans="1:4" x14ac:dyDescent="0.25">
      <c r="A24" t="s">
        <v>323</v>
      </c>
      <c r="B24" t="s">
        <v>517</v>
      </c>
      <c r="C24">
        <v>0</v>
      </c>
      <c r="D24" t="str">
        <f>Tabelle6[[#This Row],[Title]] &amp; " = "&amp;Tabelle6[[#This Row],[Code]]&amp;IF(A25=Tabelle6[[#This Row],[Type Name]],",","")</f>
        <v>Linear = 0</v>
      </c>
    </row>
    <row r="25" spans="1:4" x14ac:dyDescent="0.25">
      <c r="A25" t="s">
        <v>557</v>
      </c>
      <c r="B25" t="s">
        <v>560</v>
      </c>
      <c r="C25">
        <v>-1</v>
      </c>
      <c r="D25" t="str">
        <f>Tabelle6[[#This Row],[Title]] &amp; " = "&amp;Tabelle6[[#This Row],[Code]]&amp;IF(A26=Tabelle6[[#This Row],[Type Name]],",","")</f>
        <v>NoUser = -1,</v>
      </c>
    </row>
    <row r="26" spans="1:4" x14ac:dyDescent="0.25">
      <c r="A26" t="s">
        <v>557</v>
      </c>
      <c r="B26" t="s">
        <v>558</v>
      </c>
      <c r="C26">
        <v>0</v>
      </c>
      <c r="D26" t="str">
        <f>Tabelle6[[#This Row],[Title]] &amp; " = "&amp;Tabelle6[[#This Row],[Code]]&amp;IF(A27=Tabelle6[[#This Row],[Type Name]],",","")</f>
        <v>Standard = 0,</v>
      </c>
    </row>
    <row r="27" spans="1:4" x14ac:dyDescent="0.25">
      <c r="A27" t="s">
        <v>557</v>
      </c>
      <c r="B27" t="s">
        <v>559</v>
      </c>
      <c r="C27">
        <v>1</v>
      </c>
      <c r="D27" t="str">
        <f>Tabelle6[[#This Row],[Title]] &amp; " = "&amp;Tabelle6[[#This Row],[Code]]&amp;IF(A28=Tabelle6[[#This Row],[Type Name]],",","")</f>
        <v>Admin = 1</v>
      </c>
    </row>
    <row r="28" spans="1:4" x14ac:dyDescent="0.25">
      <c r="A28" t="s">
        <v>583</v>
      </c>
      <c r="B28" s="1" t="s">
        <v>590</v>
      </c>
      <c r="C28" t="s">
        <v>585</v>
      </c>
      <c r="D28" t="str">
        <f>Tabelle6[[#This Row],[Title]] &amp; " = "&amp;Tabelle6[[#This Row],[Code]]&amp;IF(A29=Tabelle6[[#This Row],[Type Name]],",","")</f>
        <v>Employee = E,</v>
      </c>
    </row>
    <row r="29" spans="1:4" x14ac:dyDescent="0.25">
      <c r="A29" t="s">
        <v>583</v>
      </c>
      <c r="B29" t="s">
        <v>588</v>
      </c>
      <c r="C29" t="s">
        <v>584</v>
      </c>
      <c r="D29" t="str">
        <f>Tabelle6[[#This Row],[Title]] &amp; " = "&amp;Tabelle6[[#This Row],[Code]]&amp;IF(A30=Tabelle6[[#This Row],[Type Name]],",","")</f>
        <v>Inventory = I,</v>
      </c>
    </row>
    <row r="30" spans="1:4" x14ac:dyDescent="0.25">
      <c r="A30" t="s">
        <v>583</v>
      </c>
      <c r="B30" t="s">
        <v>445</v>
      </c>
      <c r="C30" t="s">
        <v>586</v>
      </c>
      <c r="D30" t="str">
        <f>Tabelle6[[#This Row],[Title]] &amp; " = "&amp;Tabelle6[[#This Row],[Code]]&amp;IF(A31=Tabelle6[[#This Row],[Type Name]],",","")</f>
        <v>Contract = C,</v>
      </c>
    </row>
    <row r="31" spans="1:4" x14ac:dyDescent="0.25">
      <c r="A31" t="s">
        <v>583</v>
      </c>
      <c r="B31" t="s">
        <v>589</v>
      </c>
      <c r="C31" t="s">
        <v>587</v>
      </c>
      <c r="D31" t="str">
        <f>Tabelle6[[#This Row],[Title]] &amp; " = "&amp;Tabelle6[[#This Row],[Code]]&amp;IF(A32=Tabelle6[[#This Row],[Type Name]],",","")</f>
        <v>Project = P</v>
      </c>
    </row>
    <row r="32" spans="1:4" x14ac:dyDescent="0.25">
      <c r="A32" t="s">
        <v>172</v>
      </c>
      <c r="B32" s="5" t="s">
        <v>600</v>
      </c>
      <c r="C32">
        <v>0</v>
      </c>
      <c r="D32" t="str">
        <f>Tabelle6[[#This Row],[Title]] &amp; " = "&amp;Tabelle6[[#This Row],[Code]]&amp;IF(A33=Tabelle6[[#This Row],[Type Name]],",","")</f>
        <v>Assets = 0,</v>
      </c>
    </row>
    <row r="33" spans="1:4" x14ac:dyDescent="0.25">
      <c r="A33" t="s">
        <v>172</v>
      </c>
      <c r="B33" t="s">
        <v>599</v>
      </c>
      <c r="C33">
        <v>10</v>
      </c>
      <c r="D33" t="str">
        <f>Tabelle6[[#This Row],[Title]] &amp; " = "&amp;Tabelle6[[#This Row],[Code]]&amp;IF(A34=Tabelle6[[#This Row],[Type Name]],",","")</f>
        <v>Liabilities = 10,</v>
      </c>
    </row>
    <row r="34" spans="1:4" x14ac:dyDescent="0.25">
      <c r="A34" t="s">
        <v>172</v>
      </c>
      <c r="B34" t="s">
        <v>598</v>
      </c>
      <c r="C34">
        <v>15</v>
      </c>
      <c r="D34" t="str">
        <f>Tabelle6[[#This Row],[Title]] &amp; " = "&amp;Tabelle6[[#This Row],[Code]]&amp;IF(A35=Tabelle6[[#This Row],[Type Name]],",","")</f>
        <v>Capital = 15,</v>
      </c>
    </row>
    <row r="35" spans="1:4" x14ac:dyDescent="0.25">
      <c r="A35" t="s">
        <v>172</v>
      </c>
      <c r="B35" t="s">
        <v>597</v>
      </c>
      <c r="C35">
        <v>20</v>
      </c>
      <c r="D35" t="str">
        <f>Tabelle6[[#This Row],[Title]] &amp; " = "&amp;Tabelle6[[#This Row],[Code]]&amp;IF(A36=Tabelle6[[#This Row],[Type Name]],",","")</f>
        <v>Income = 20,</v>
      </c>
    </row>
    <row r="36" spans="1:4" x14ac:dyDescent="0.25">
      <c r="A36" t="s">
        <v>172</v>
      </c>
      <c r="B36" t="s">
        <v>596</v>
      </c>
      <c r="C36">
        <v>30</v>
      </c>
      <c r="D36" t="str">
        <f>Tabelle6[[#This Row],[Title]] &amp; " = "&amp;Tabelle6[[#This Row],[Code]]&amp;IF(A37=Tabelle6[[#This Row],[Type Name]],",","")</f>
        <v>Expenditure = 30,</v>
      </c>
    </row>
    <row r="37" spans="1:4" x14ac:dyDescent="0.25">
      <c r="A37" t="s">
        <v>172</v>
      </c>
      <c r="B37" t="s">
        <v>595</v>
      </c>
      <c r="C37">
        <v>40</v>
      </c>
      <c r="D37" t="str">
        <f>Tabelle6[[#This Row],[Title]] &amp; " = "&amp;Tabelle6[[#This Row],[Code]]&amp;IF(A38=Tabelle6[[#This Row],[Type Name]],",","")</f>
        <v>Period = 40</v>
      </c>
    </row>
    <row r="38" spans="1:4" x14ac:dyDescent="0.25">
      <c r="A38" t="s">
        <v>323</v>
      </c>
      <c r="B38" t="s">
        <v>517</v>
      </c>
      <c r="C38">
        <v>0</v>
      </c>
      <c r="D38" t="str">
        <f>Tabelle6[[#This Row],[Title]] &amp; " = "&amp;Tabelle6[[#This Row],[Code]]&amp;IF(A39=Tabelle6[[#This Row],[Type Name]],",","")</f>
        <v>Linear = 0</v>
      </c>
    </row>
    <row r="39" spans="1:4" x14ac:dyDescent="0.25">
      <c r="A39" t="s">
        <v>611</v>
      </c>
      <c r="B39" t="s">
        <v>441</v>
      </c>
      <c r="C39">
        <v>1</v>
      </c>
      <c r="D39" t="str">
        <f>Tabelle6[[#This Row],[Title]] &amp; " = "&amp;Tabelle6[[#This Row],[Code]]&amp;IF(A40=Tabelle6[[#This Row],[Type Name]],",","")</f>
        <v>Monthly = 1,</v>
      </c>
    </row>
    <row r="40" spans="1:4" x14ac:dyDescent="0.25">
      <c r="A40" t="s">
        <v>611</v>
      </c>
      <c r="B40" t="s">
        <v>442</v>
      </c>
      <c r="C40">
        <v>3</v>
      </c>
      <c r="D40" t="str">
        <f>Tabelle6[[#This Row],[Title]] &amp; " = "&amp;Tabelle6[[#This Row],[Code]]&amp;IF(A41=Tabelle6[[#This Row],[Type Name]],",","")</f>
        <v>Quarterly = 3,</v>
      </c>
    </row>
    <row r="41" spans="1:4" x14ac:dyDescent="0.25">
      <c r="A41" t="s">
        <v>611</v>
      </c>
      <c r="B41" t="s">
        <v>601</v>
      </c>
      <c r="C41">
        <v>6</v>
      </c>
      <c r="D41" t="str">
        <f>Tabelle6[[#This Row],[Title]] &amp; " = "&amp;Tabelle6[[#This Row],[Code]]&amp;IF(A42=Tabelle6[[#This Row],[Type Name]],",","")</f>
        <v>Semiannually = 6,</v>
      </c>
    </row>
    <row r="42" spans="1:4" x14ac:dyDescent="0.25">
      <c r="A42" t="s">
        <v>611</v>
      </c>
      <c r="B42" t="s">
        <v>443</v>
      </c>
      <c r="C42">
        <v>12</v>
      </c>
      <c r="D42" t="str">
        <f>Tabelle6[[#This Row],[Title]] &amp; " = "&amp;Tabelle6[[#This Row],[Code]]&amp;IF(A43=Tabelle6[[#This Row],[Type Name]],",","")</f>
        <v>Annually = 12</v>
      </c>
    </row>
    <row r="43" spans="1:4" ht="30" x14ac:dyDescent="0.25">
      <c r="A43" s="1" t="s">
        <v>736</v>
      </c>
      <c r="B43" t="s">
        <v>737</v>
      </c>
      <c r="C43">
        <v>0</v>
      </c>
      <c r="D43" s="7" t="str">
        <f>Tabelle6[[#This Row],[Title]] &amp; " = "&amp;Tabelle6[[#This Row],[Code]]&amp;IF(A44=Tabelle6[[#This Row],[Type Name]],",","")</f>
        <v>Distribute = 0,</v>
      </c>
    </row>
    <row r="44" spans="1:4" ht="30" x14ac:dyDescent="0.25">
      <c r="A44" s="1" t="s">
        <v>736</v>
      </c>
      <c r="B44" t="s">
        <v>738</v>
      </c>
      <c r="C44">
        <v>1</v>
      </c>
      <c r="D44" s="7" t="str">
        <f>Tabelle6[[#This Row],[Title]] &amp; " = "&amp;Tabelle6[[#This Row],[Code]]&amp;IF(A45=Tabelle6[[#This Row],[Type Name]],",","")</f>
        <v>Add = 1,</v>
      </c>
    </row>
    <row r="45" spans="1:4" ht="30" x14ac:dyDescent="0.25">
      <c r="A45" s="1" t="s">
        <v>736</v>
      </c>
      <c r="B45" t="s">
        <v>739</v>
      </c>
      <c r="C45">
        <v>2</v>
      </c>
      <c r="D45" s="7" t="str">
        <f>Tabelle6[[#This Row],[Title]] &amp; " = "&amp;Tabelle6[[#This Row],[Code]]&amp;IF(A46=Tabelle6[[#This Row],[Type Name]],",","")</f>
        <v>Exclude = 2</v>
      </c>
    </row>
    <row r="46" spans="1:4" x14ac:dyDescent="0.25">
      <c r="A46" s="1" t="s">
        <v>778</v>
      </c>
      <c r="B46" t="s">
        <v>782</v>
      </c>
      <c r="C46">
        <v>1</v>
      </c>
      <c r="D46" s="7" t="str">
        <f>Tabelle6[[#This Row],[Title]] &amp; " = "&amp;Tabelle6[[#This Row],[Code]]&amp;IF(A47=Tabelle6[[#This Row],[Type Name]],",","")</f>
        <v>JournalImport = 1,</v>
      </c>
    </row>
    <row r="47" spans="1:4" x14ac:dyDescent="0.25">
      <c r="A47" s="1" t="s">
        <v>778</v>
      </c>
      <c r="B47" t="s">
        <v>783</v>
      </c>
      <c r="C47">
        <v>2</v>
      </c>
      <c r="D47" s="7" t="str">
        <f>Tabelle6[[#This Row],[Title]] &amp; " = "&amp;Tabelle6[[#This Row],[Code]]&amp;IF(A48=Tabelle6[[#This Row],[Type Name]],",","")</f>
        <v>PlanImport = 2,</v>
      </c>
    </row>
    <row r="48" spans="1:4" x14ac:dyDescent="0.25">
      <c r="A48" s="1" t="s">
        <v>778</v>
      </c>
      <c r="B48" t="s">
        <v>784</v>
      </c>
      <c r="C48">
        <v>3</v>
      </c>
      <c r="D48" s="7" t="str">
        <f>Tabelle6[[#This Row],[Title]] &amp; " = "&amp;Tabelle6[[#This Row],[Code]]&amp;IF(A49=Tabelle6[[#This Row],[Type Name]],",","")</f>
        <v>PlanImplement = 3</v>
      </c>
    </row>
    <row r="49" spans="1:4" x14ac:dyDescent="0.25">
      <c r="A49" t="s">
        <v>781</v>
      </c>
      <c r="B49" t="s">
        <v>785</v>
      </c>
      <c r="C49">
        <v>1</v>
      </c>
      <c r="D49" s="7" t="str">
        <f>Tabelle6[[#This Row],[Title]] &amp; " = "&amp;Tabelle6[[#This Row],[Code]]&amp;IF(A50=Tabelle6[[#This Row],[Type Name]],",","")</f>
        <v>Success = 1,</v>
      </c>
    </row>
    <row r="50" spans="1:4" x14ac:dyDescent="0.25">
      <c r="A50" t="s">
        <v>781</v>
      </c>
      <c r="B50" t="s">
        <v>786</v>
      </c>
      <c r="C50">
        <v>2</v>
      </c>
      <c r="D50" s="7" t="str">
        <f>Tabelle6[[#This Row],[Title]] &amp; " = "&amp;Tabelle6[[#This Row],[Code]]&amp;IF(A51=Tabelle6[[#This Row],[Type Name]],",","")</f>
        <v>Error = 2,</v>
      </c>
    </row>
    <row r="51" spans="1:4" x14ac:dyDescent="0.25">
      <c r="A51" t="s">
        <v>781</v>
      </c>
      <c r="B51" t="s">
        <v>787</v>
      </c>
      <c r="C51">
        <v>3</v>
      </c>
      <c r="D51" s="7" t="str">
        <f>Tabelle6[[#This Row],[Title]] &amp; " = "&amp;Tabelle6[[#This Row],[Code]]&amp;IF(A52=Tabelle6[[#This Row],[Type Name]],",","")</f>
        <v>Warning = 3</v>
      </c>
    </row>
    <row r="52" spans="1:4" x14ac:dyDescent="0.25">
      <c r="A52" t="s">
        <v>800</v>
      </c>
      <c r="B52" s="8" t="s">
        <v>804</v>
      </c>
      <c r="C52">
        <v>0</v>
      </c>
      <c r="D52" s="7" t="str">
        <f>Tabelle6[[#This Row],[Title]] &amp; " = "&amp;Tabelle6[[#This Row],[Code]]&amp;IF(A53=Tabelle6[[#This Row],[Type Name]],",","")</f>
        <v>PlanNew = 0,</v>
      </c>
    </row>
    <row r="53" spans="1:4" x14ac:dyDescent="0.25">
      <c r="A53" t="s">
        <v>800</v>
      </c>
      <c r="B53" t="s">
        <v>801</v>
      </c>
      <c r="C53">
        <v>1</v>
      </c>
      <c r="D53" s="7" t="str">
        <f>Tabelle6[[#This Row],[Title]] &amp; " = "&amp;Tabelle6[[#This Row],[Code]]&amp;IF(A54=Tabelle6[[#This Row],[Type Name]],",","")</f>
        <v>PlanImplemented = 1,</v>
      </c>
    </row>
    <row r="54" spans="1:4" x14ac:dyDescent="0.25">
      <c r="A54" t="s">
        <v>800</v>
      </c>
      <c r="B54" t="s">
        <v>802</v>
      </c>
      <c r="C54">
        <v>2</v>
      </c>
      <c r="D54" s="7" t="str">
        <f>Tabelle6[[#This Row],[Title]] &amp; " = "&amp;Tabelle6[[#This Row],[Code]]&amp;IF(A55=Tabelle6[[#This Row],[Type Name]],",","")</f>
        <v>PlanUpdated = 2,</v>
      </c>
    </row>
    <row r="55" spans="1:4" x14ac:dyDescent="0.25">
      <c r="A55" t="s">
        <v>800</v>
      </c>
      <c r="B55" t="s">
        <v>803</v>
      </c>
      <c r="C55">
        <v>3</v>
      </c>
      <c r="D55" s="7" t="str">
        <f>Tabelle6[[#This Row],[Title]] &amp; " = "&amp;Tabelle6[[#This Row],[Code]]&amp;IF(A56=Tabelle6[[#This Row],[Type Name]],",","")</f>
        <v>PlanApplied = 3</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E90"/>
  <sheetViews>
    <sheetView topLeftCell="A41" workbookViewId="0">
      <selection activeCell="D58" sqref="D58"/>
    </sheetView>
  </sheetViews>
  <sheetFormatPr baseColWidth="10" defaultRowHeight="15" x14ac:dyDescent="0.25"/>
  <cols>
    <col min="3" max="3" width="15.42578125" customWidth="1"/>
    <col min="4" max="4" width="144.85546875" customWidth="1"/>
  </cols>
  <sheetData>
    <row r="1" spans="1:5" x14ac:dyDescent="0.25">
      <c r="A1" t="s">
        <v>93</v>
      </c>
      <c r="B1" t="s">
        <v>22</v>
      </c>
      <c r="C1" t="s">
        <v>404</v>
      </c>
      <c r="D1" t="s">
        <v>3</v>
      </c>
      <c r="E1" t="s">
        <v>328</v>
      </c>
    </row>
    <row r="2" spans="1:5" ht="30" hidden="1" x14ac:dyDescent="0.25">
      <c r="A2" s="3">
        <v>43951</v>
      </c>
      <c r="B2" t="s">
        <v>119</v>
      </c>
      <c r="C2" t="s">
        <v>634</v>
      </c>
      <c r="D2" s="1" t="s">
        <v>94</v>
      </c>
      <c r="E2" t="s">
        <v>396</v>
      </c>
    </row>
    <row r="3" spans="1:5" x14ac:dyDescent="0.25">
      <c r="A3" s="3">
        <v>43951</v>
      </c>
      <c r="B3" t="s">
        <v>120</v>
      </c>
      <c r="C3" t="s">
        <v>346</v>
      </c>
      <c r="D3" t="s">
        <v>627</v>
      </c>
    </row>
    <row r="4" spans="1:5" x14ac:dyDescent="0.25">
      <c r="A4" s="3">
        <v>43951</v>
      </c>
      <c r="B4" t="s">
        <v>120</v>
      </c>
      <c r="C4" t="s">
        <v>346</v>
      </c>
      <c r="D4" t="s">
        <v>628</v>
      </c>
    </row>
    <row r="5" spans="1:5" ht="30" hidden="1" x14ac:dyDescent="0.25">
      <c r="A5" s="3">
        <v>43951</v>
      </c>
      <c r="B5" t="s">
        <v>119</v>
      </c>
      <c r="D5" s="1" t="s">
        <v>105</v>
      </c>
      <c r="E5" t="s">
        <v>396</v>
      </c>
    </row>
    <row r="6" spans="1:5" x14ac:dyDescent="0.25">
      <c r="A6" s="3">
        <v>43951</v>
      </c>
      <c r="B6" t="s">
        <v>120</v>
      </c>
      <c r="C6" t="s">
        <v>346</v>
      </c>
      <c r="D6" t="s">
        <v>121</v>
      </c>
    </row>
    <row r="7" spans="1:5" ht="30" x14ac:dyDescent="0.25">
      <c r="A7" s="3">
        <v>43951</v>
      </c>
      <c r="B7" t="s">
        <v>120</v>
      </c>
      <c r="C7" t="s">
        <v>352</v>
      </c>
      <c r="D7" s="1" t="s">
        <v>122</v>
      </c>
    </row>
    <row r="8" spans="1:5" x14ac:dyDescent="0.25">
      <c r="A8" s="3">
        <v>43951</v>
      </c>
      <c r="B8" t="s">
        <v>120</v>
      </c>
      <c r="C8" t="s">
        <v>635</v>
      </c>
      <c r="D8" t="s">
        <v>636</v>
      </c>
    </row>
    <row r="9" spans="1:5" x14ac:dyDescent="0.25">
      <c r="A9" s="3">
        <v>43952</v>
      </c>
      <c r="B9" t="s">
        <v>120</v>
      </c>
      <c r="C9" t="s">
        <v>346</v>
      </c>
      <c r="D9" s="1" t="s">
        <v>149</v>
      </c>
    </row>
    <row r="10" spans="1:5" x14ac:dyDescent="0.25">
      <c r="A10" s="3">
        <v>43952</v>
      </c>
      <c r="B10" t="s">
        <v>120</v>
      </c>
      <c r="C10" t="s">
        <v>347</v>
      </c>
      <c r="D10" t="s">
        <v>637</v>
      </c>
    </row>
    <row r="11" spans="1:5" hidden="1" x14ac:dyDescent="0.25">
      <c r="A11" s="3">
        <v>43952</v>
      </c>
      <c r="B11" t="s">
        <v>154</v>
      </c>
      <c r="D11" s="1" t="s">
        <v>155</v>
      </c>
      <c r="E11" t="s">
        <v>396</v>
      </c>
    </row>
    <row r="12" spans="1:5" x14ac:dyDescent="0.25">
      <c r="A12" s="3">
        <v>43952</v>
      </c>
      <c r="B12" t="s">
        <v>120</v>
      </c>
      <c r="C12" t="s">
        <v>148</v>
      </c>
      <c r="D12" t="s">
        <v>156</v>
      </c>
    </row>
    <row r="13" spans="1:5" x14ac:dyDescent="0.25">
      <c r="A13" s="3">
        <v>43953</v>
      </c>
      <c r="B13" t="s">
        <v>120</v>
      </c>
      <c r="C13" t="s">
        <v>346</v>
      </c>
      <c r="D13" t="s">
        <v>277</v>
      </c>
    </row>
    <row r="14" spans="1:5" hidden="1" x14ac:dyDescent="0.25">
      <c r="A14" s="3">
        <v>43955</v>
      </c>
      <c r="B14" t="s">
        <v>331</v>
      </c>
      <c r="D14" t="s">
        <v>332</v>
      </c>
      <c r="E14" t="s">
        <v>396</v>
      </c>
    </row>
    <row r="15" spans="1:5" hidden="1" x14ac:dyDescent="0.25">
      <c r="A15" s="3">
        <v>43955</v>
      </c>
      <c r="B15" t="s">
        <v>331</v>
      </c>
      <c r="D15" t="s">
        <v>333</v>
      </c>
      <c r="E15" t="s">
        <v>396</v>
      </c>
    </row>
    <row r="16" spans="1:5" hidden="1" x14ac:dyDescent="0.25">
      <c r="A16" s="3">
        <v>43955</v>
      </c>
      <c r="B16" t="s">
        <v>331</v>
      </c>
      <c r="D16" t="s">
        <v>334</v>
      </c>
      <c r="E16" t="s">
        <v>396</v>
      </c>
    </row>
    <row r="17" spans="1:5" hidden="1" x14ac:dyDescent="0.25">
      <c r="A17" s="3">
        <v>43955</v>
      </c>
      <c r="B17" t="s">
        <v>331</v>
      </c>
      <c r="C17" t="s">
        <v>631</v>
      </c>
      <c r="D17" t="s">
        <v>335</v>
      </c>
      <c r="E17" t="s">
        <v>396</v>
      </c>
    </row>
    <row r="18" spans="1:5" hidden="1" x14ac:dyDescent="0.25">
      <c r="A18" s="3">
        <v>43956</v>
      </c>
      <c r="B18" t="s">
        <v>154</v>
      </c>
      <c r="D18" t="s">
        <v>393</v>
      </c>
      <c r="E18" t="s">
        <v>396</v>
      </c>
    </row>
    <row r="19" spans="1:5" hidden="1" x14ac:dyDescent="0.25">
      <c r="A19" s="3">
        <v>43956</v>
      </c>
      <c r="B19" t="s">
        <v>331</v>
      </c>
      <c r="D19" t="s">
        <v>394</v>
      </c>
      <c r="E19" t="s">
        <v>396</v>
      </c>
    </row>
    <row r="20" spans="1:5" hidden="1" x14ac:dyDescent="0.25">
      <c r="A20" s="3">
        <v>43956</v>
      </c>
      <c r="B20" t="s">
        <v>331</v>
      </c>
      <c r="D20" t="s">
        <v>397</v>
      </c>
      <c r="E20" t="s">
        <v>396</v>
      </c>
    </row>
    <row r="21" spans="1:5" hidden="1" x14ac:dyDescent="0.25">
      <c r="A21" s="3">
        <v>43956</v>
      </c>
      <c r="B21" t="s">
        <v>154</v>
      </c>
      <c r="C21" t="s">
        <v>513</v>
      </c>
      <c r="D21" t="s">
        <v>398</v>
      </c>
      <c r="E21" t="s">
        <v>396</v>
      </c>
    </row>
    <row r="22" spans="1:5" x14ac:dyDescent="0.25">
      <c r="A22" s="3">
        <v>43958</v>
      </c>
      <c r="B22" t="s">
        <v>331</v>
      </c>
      <c r="C22" t="s">
        <v>513</v>
      </c>
      <c r="D22" t="s">
        <v>403</v>
      </c>
    </row>
    <row r="23" spans="1:5" hidden="1" x14ac:dyDescent="0.25">
      <c r="A23" s="3">
        <v>43958</v>
      </c>
      <c r="B23" t="s">
        <v>331</v>
      </c>
      <c r="C23" t="s">
        <v>405</v>
      </c>
      <c r="D23" t="s">
        <v>406</v>
      </c>
      <c r="E23" t="s">
        <v>396</v>
      </c>
    </row>
    <row r="24" spans="1:5" x14ac:dyDescent="0.25">
      <c r="A24" s="3">
        <v>43958</v>
      </c>
      <c r="B24" t="s">
        <v>331</v>
      </c>
      <c r="C24" t="s">
        <v>631</v>
      </c>
      <c r="D24" t="s">
        <v>632</v>
      </c>
    </row>
    <row r="25" spans="1:5" x14ac:dyDescent="0.25">
      <c r="A25" s="3">
        <v>43958</v>
      </c>
      <c r="B25" t="s">
        <v>331</v>
      </c>
      <c r="C25" t="s">
        <v>629</v>
      </c>
      <c r="D25" t="s">
        <v>633</v>
      </c>
    </row>
    <row r="26" spans="1:5" hidden="1" x14ac:dyDescent="0.25">
      <c r="A26" s="3">
        <v>43961</v>
      </c>
      <c r="B26" t="s">
        <v>331</v>
      </c>
      <c r="D26" t="s">
        <v>410</v>
      </c>
      <c r="E26" t="s">
        <v>396</v>
      </c>
    </row>
    <row r="27" spans="1:5" hidden="1" x14ac:dyDescent="0.25">
      <c r="A27" s="3">
        <v>43961</v>
      </c>
      <c r="B27" t="s">
        <v>331</v>
      </c>
      <c r="D27" t="s">
        <v>411</v>
      </c>
      <c r="E27" t="s">
        <v>396</v>
      </c>
    </row>
    <row r="28" spans="1:5" hidden="1" x14ac:dyDescent="0.25">
      <c r="A28" s="3">
        <v>43961</v>
      </c>
      <c r="B28" t="s">
        <v>331</v>
      </c>
      <c r="D28" t="s">
        <v>412</v>
      </c>
      <c r="E28" t="s">
        <v>396</v>
      </c>
    </row>
    <row r="29" spans="1:5" hidden="1" x14ac:dyDescent="0.25">
      <c r="A29" s="3">
        <v>43961</v>
      </c>
      <c r="B29" t="s">
        <v>331</v>
      </c>
      <c r="C29" t="s">
        <v>413</v>
      </c>
      <c r="D29" t="s">
        <v>425</v>
      </c>
      <c r="E29" t="s">
        <v>396</v>
      </c>
    </row>
    <row r="30" spans="1:5" hidden="1" x14ac:dyDescent="0.25">
      <c r="A30" s="3">
        <v>43961</v>
      </c>
      <c r="B30" t="s">
        <v>331</v>
      </c>
      <c r="C30" t="s">
        <v>413</v>
      </c>
      <c r="D30" t="s">
        <v>421</v>
      </c>
      <c r="E30" t="s">
        <v>396</v>
      </c>
    </row>
    <row r="31" spans="1:5" hidden="1" x14ac:dyDescent="0.25">
      <c r="A31" s="3">
        <v>43961</v>
      </c>
      <c r="B31" t="s">
        <v>331</v>
      </c>
      <c r="C31" t="s">
        <v>413</v>
      </c>
      <c r="D31" t="s">
        <v>416</v>
      </c>
      <c r="E31" t="s">
        <v>396</v>
      </c>
    </row>
    <row r="32" spans="1:5" hidden="1" x14ac:dyDescent="0.25">
      <c r="A32" s="3">
        <v>43961</v>
      </c>
      <c r="B32" t="s">
        <v>331</v>
      </c>
      <c r="C32" t="s">
        <v>413</v>
      </c>
      <c r="D32" t="s">
        <v>429</v>
      </c>
      <c r="E32" t="s">
        <v>396</v>
      </c>
    </row>
    <row r="33" spans="1:5" hidden="1" x14ac:dyDescent="0.25">
      <c r="A33" s="3">
        <v>43961</v>
      </c>
      <c r="B33" t="s">
        <v>331</v>
      </c>
      <c r="C33" t="s">
        <v>413</v>
      </c>
      <c r="D33" t="s">
        <v>417</v>
      </c>
      <c r="E33" t="s">
        <v>396</v>
      </c>
    </row>
    <row r="34" spans="1:5" hidden="1" x14ac:dyDescent="0.25">
      <c r="A34" s="3">
        <v>43961</v>
      </c>
      <c r="B34" t="s">
        <v>331</v>
      </c>
      <c r="C34" t="s">
        <v>413</v>
      </c>
      <c r="D34" t="s">
        <v>415</v>
      </c>
      <c r="E34" t="s">
        <v>396</v>
      </c>
    </row>
    <row r="35" spans="1:5" hidden="1" x14ac:dyDescent="0.25">
      <c r="A35" s="3">
        <v>43961</v>
      </c>
      <c r="B35" t="s">
        <v>331</v>
      </c>
      <c r="C35" t="s">
        <v>413</v>
      </c>
      <c r="D35" t="s">
        <v>420</v>
      </c>
      <c r="E35" t="s">
        <v>396</v>
      </c>
    </row>
    <row r="36" spans="1:5" hidden="1" x14ac:dyDescent="0.25">
      <c r="A36" s="3">
        <v>43961</v>
      </c>
      <c r="B36" t="s">
        <v>331</v>
      </c>
      <c r="C36" t="s">
        <v>413</v>
      </c>
      <c r="D36" t="s">
        <v>562</v>
      </c>
      <c r="E36" t="s">
        <v>396</v>
      </c>
    </row>
    <row r="37" spans="1:5" hidden="1" x14ac:dyDescent="0.25">
      <c r="A37" s="3">
        <v>43961</v>
      </c>
      <c r="B37" t="s">
        <v>331</v>
      </c>
      <c r="C37" t="s">
        <v>629</v>
      </c>
      <c r="D37" t="s">
        <v>414</v>
      </c>
      <c r="E37" t="s">
        <v>396</v>
      </c>
    </row>
    <row r="38" spans="1:5" hidden="1" x14ac:dyDescent="0.25">
      <c r="A38" s="3">
        <v>43961</v>
      </c>
      <c r="B38" t="s">
        <v>331</v>
      </c>
      <c r="C38" t="s">
        <v>413</v>
      </c>
      <c r="D38" t="s">
        <v>422</v>
      </c>
      <c r="E38" t="s">
        <v>396</v>
      </c>
    </row>
    <row r="39" spans="1:5" hidden="1" x14ac:dyDescent="0.25">
      <c r="A39" s="3">
        <v>43961</v>
      </c>
      <c r="B39" t="s">
        <v>331</v>
      </c>
      <c r="C39" t="s">
        <v>413</v>
      </c>
      <c r="D39" t="s">
        <v>453</v>
      </c>
      <c r="E39" t="s">
        <v>396</v>
      </c>
    </row>
    <row r="40" spans="1:5" hidden="1" x14ac:dyDescent="0.25">
      <c r="A40" s="3">
        <v>43961</v>
      </c>
      <c r="B40" t="s">
        <v>331</v>
      </c>
      <c r="C40" t="s">
        <v>629</v>
      </c>
      <c r="D40" t="s">
        <v>418</v>
      </c>
      <c r="E40" t="s">
        <v>396</v>
      </c>
    </row>
    <row r="41" spans="1:5" x14ac:dyDescent="0.25">
      <c r="A41" s="3">
        <v>43961</v>
      </c>
      <c r="B41" t="s">
        <v>331</v>
      </c>
      <c r="C41" t="s">
        <v>629</v>
      </c>
      <c r="D41" t="s">
        <v>419</v>
      </c>
    </row>
    <row r="42" spans="1:5" hidden="1" x14ac:dyDescent="0.25">
      <c r="A42" s="3">
        <v>43961</v>
      </c>
      <c r="B42" t="s">
        <v>331</v>
      </c>
      <c r="C42" t="s">
        <v>629</v>
      </c>
      <c r="D42" t="s">
        <v>423</v>
      </c>
      <c r="E42" t="s">
        <v>396</v>
      </c>
    </row>
    <row r="43" spans="1:5" hidden="1" x14ac:dyDescent="0.25">
      <c r="A43" s="3">
        <v>43961</v>
      </c>
      <c r="B43" t="s">
        <v>331</v>
      </c>
      <c r="D43" t="s">
        <v>424</v>
      </c>
      <c r="E43" t="s">
        <v>396</v>
      </c>
    </row>
    <row r="44" spans="1:5" hidden="1" x14ac:dyDescent="0.25">
      <c r="A44" s="3">
        <v>43961</v>
      </c>
      <c r="B44" t="s">
        <v>331</v>
      </c>
      <c r="C44" t="s">
        <v>629</v>
      </c>
      <c r="D44" t="s">
        <v>426</v>
      </c>
      <c r="E44" t="s">
        <v>396</v>
      </c>
    </row>
    <row r="45" spans="1:5" hidden="1" x14ac:dyDescent="0.25">
      <c r="A45" s="3">
        <v>43961</v>
      </c>
      <c r="B45" t="s">
        <v>331</v>
      </c>
      <c r="D45" t="s">
        <v>449</v>
      </c>
      <c r="E45" t="s">
        <v>396</v>
      </c>
    </row>
    <row r="46" spans="1:5" hidden="1" x14ac:dyDescent="0.25">
      <c r="A46" s="3">
        <v>43961</v>
      </c>
      <c r="B46" t="s">
        <v>331</v>
      </c>
      <c r="C46" t="s">
        <v>629</v>
      </c>
      <c r="D46" t="s">
        <v>454</v>
      </c>
      <c r="E46" t="s">
        <v>396</v>
      </c>
    </row>
    <row r="47" spans="1:5" hidden="1" x14ac:dyDescent="0.25">
      <c r="A47" s="3">
        <v>43961</v>
      </c>
      <c r="B47" t="s">
        <v>331</v>
      </c>
      <c r="C47" t="s">
        <v>413</v>
      </c>
      <c r="D47" t="s">
        <v>493</v>
      </c>
      <c r="E47" t="s">
        <v>396</v>
      </c>
    </row>
    <row r="48" spans="1:5" x14ac:dyDescent="0.25">
      <c r="A48" s="3">
        <v>43965</v>
      </c>
      <c r="B48" t="s">
        <v>331</v>
      </c>
      <c r="C48" t="s">
        <v>352</v>
      </c>
      <c r="D48" t="s">
        <v>504</v>
      </c>
    </row>
    <row r="49" spans="1:5" hidden="1" x14ac:dyDescent="0.25">
      <c r="A49" s="3">
        <v>43965</v>
      </c>
      <c r="B49" t="s">
        <v>331</v>
      </c>
      <c r="C49" t="s">
        <v>505</v>
      </c>
      <c r="D49" t="s">
        <v>506</v>
      </c>
      <c r="E49" t="s">
        <v>396</v>
      </c>
    </row>
    <row r="50" spans="1:5" hidden="1" x14ac:dyDescent="0.25">
      <c r="A50" s="3">
        <v>43965</v>
      </c>
      <c r="B50" t="s">
        <v>331</v>
      </c>
      <c r="C50" t="s">
        <v>505</v>
      </c>
      <c r="D50" t="s">
        <v>507</v>
      </c>
      <c r="E50" t="s">
        <v>396</v>
      </c>
    </row>
    <row r="51" spans="1:5" hidden="1" x14ac:dyDescent="0.25">
      <c r="A51" s="3">
        <v>43965</v>
      </c>
      <c r="B51" t="s">
        <v>331</v>
      </c>
      <c r="C51" t="s">
        <v>354</v>
      </c>
      <c r="D51" t="s">
        <v>508</v>
      </c>
      <c r="E51" t="s">
        <v>396</v>
      </c>
    </row>
    <row r="52" spans="1:5" x14ac:dyDescent="0.25">
      <c r="A52" s="3">
        <v>43965</v>
      </c>
      <c r="B52" t="s">
        <v>331</v>
      </c>
      <c r="C52" t="s">
        <v>511</v>
      </c>
      <c r="D52" t="s">
        <v>512</v>
      </c>
    </row>
    <row r="53" spans="1:5" hidden="1" x14ac:dyDescent="0.25">
      <c r="A53" s="3">
        <v>43965</v>
      </c>
      <c r="B53" t="s">
        <v>331</v>
      </c>
      <c r="C53" t="s">
        <v>513</v>
      </c>
      <c r="D53" t="s">
        <v>514</v>
      </c>
      <c r="E53" t="s">
        <v>396</v>
      </c>
    </row>
    <row r="54" spans="1:5" x14ac:dyDescent="0.25">
      <c r="A54" s="3">
        <v>43968</v>
      </c>
      <c r="B54" t="s">
        <v>331</v>
      </c>
      <c r="C54" t="s">
        <v>513</v>
      </c>
      <c r="D54" t="s">
        <v>536</v>
      </c>
    </row>
    <row r="55" spans="1:5" x14ac:dyDescent="0.25">
      <c r="A55" s="3">
        <v>43968</v>
      </c>
      <c r="B55" t="s">
        <v>331</v>
      </c>
      <c r="C55" t="s">
        <v>513</v>
      </c>
      <c r="D55" t="s">
        <v>561</v>
      </c>
    </row>
    <row r="56" spans="1:5" x14ac:dyDescent="0.25">
      <c r="A56" s="3">
        <v>43970</v>
      </c>
      <c r="B56" t="s">
        <v>575</v>
      </c>
      <c r="C56" t="s">
        <v>513</v>
      </c>
      <c r="D56" t="s">
        <v>576</v>
      </c>
    </row>
    <row r="57" spans="1:5" hidden="1" x14ac:dyDescent="0.25">
      <c r="A57" s="3">
        <v>43970</v>
      </c>
      <c r="B57" t="s">
        <v>331</v>
      </c>
      <c r="C57" t="s">
        <v>513</v>
      </c>
      <c r="D57" t="s">
        <v>577</v>
      </c>
      <c r="E57" t="s">
        <v>396</v>
      </c>
    </row>
    <row r="58" spans="1:5" ht="45" x14ac:dyDescent="0.25">
      <c r="A58" s="3">
        <v>43975</v>
      </c>
      <c r="B58" t="s">
        <v>331</v>
      </c>
      <c r="C58" t="s">
        <v>511</v>
      </c>
      <c r="D58" s="1" t="s">
        <v>594</v>
      </c>
    </row>
    <row r="59" spans="1:5" x14ac:dyDescent="0.25">
      <c r="A59" s="3">
        <v>43976</v>
      </c>
      <c r="B59" t="s">
        <v>120</v>
      </c>
      <c r="C59" t="s">
        <v>346</v>
      </c>
      <c r="D59" t="s">
        <v>618</v>
      </c>
    </row>
    <row r="60" spans="1:5" hidden="1" x14ac:dyDescent="0.25">
      <c r="A60" s="3">
        <v>43976</v>
      </c>
      <c r="B60" t="s">
        <v>120</v>
      </c>
      <c r="C60" t="s">
        <v>626</v>
      </c>
      <c r="D60" t="s">
        <v>619</v>
      </c>
      <c r="E60" t="s">
        <v>396</v>
      </c>
    </row>
    <row r="61" spans="1:5" hidden="1" x14ac:dyDescent="0.25">
      <c r="A61" s="3">
        <v>43976</v>
      </c>
      <c r="B61" t="s">
        <v>120</v>
      </c>
      <c r="C61" t="s">
        <v>626</v>
      </c>
      <c r="D61" t="s">
        <v>620</v>
      </c>
      <c r="E61" t="s">
        <v>396</v>
      </c>
    </row>
    <row r="62" spans="1:5" hidden="1" x14ac:dyDescent="0.25">
      <c r="A62" s="3">
        <v>43976</v>
      </c>
      <c r="B62" t="s">
        <v>120</v>
      </c>
      <c r="C62" t="s">
        <v>626</v>
      </c>
      <c r="D62" t="s">
        <v>621</v>
      </c>
      <c r="E62" t="s">
        <v>396</v>
      </c>
    </row>
    <row r="63" spans="1:5" hidden="1" x14ac:dyDescent="0.25">
      <c r="A63" s="3">
        <v>43976</v>
      </c>
      <c r="B63" t="s">
        <v>120</v>
      </c>
      <c r="C63" t="s">
        <v>626</v>
      </c>
      <c r="D63" t="s">
        <v>622</v>
      </c>
      <c r="E63" t="s">
        <v>396</v>
      </c>
    </row>
    <row r="64" spans="1:5" hidden="1" x14ac:dyDescent="0.25">
      <c r="A64" s="3">
        <v>43976</v>
      </c>
      <c r="B64" t="s">
        <v>120</v>
      </c>
      <c r="C64" t="s">
        <v>626</v>
      </c>
      <c r="D64" t="s">
        <v>623</v>
      </c>
      <c r="E64" t="s">
        <v>396</v>
      </c>
    </row>
    <row r="65" spans="1:5" hidden="1" x14ac:dyDescent="0.25">
      <c r="A65" s="3">
        <v>43976</v>
      </c>
      <c r="B65" t="s">
        <v>120</v>
      </c>
      <c r="C65" t="s">
        <v>626</v>
      </c>
      <c r="D65" t="s">
        <v>624</v>
      </c>
      <c r="E65" t="s">
        <v>396</v>
      </c>
    </row>
    <row r="66" spans="1:5" hidden="1" x14ac:dyDescent="0.25">
      <c r="A66" s="3">
        <v>43976</v>
      </c>
      <c r="B66" t="s">
        <v>120</v>
      </c>
      <c r="C66" t="s">
        <v>626</v>
      </c>
      <c r="D66" t="s">
        <v>625</v>
      </c>
      <c r="E66" t="s">
        <v>396</v>
      </c>
    </row>
    <row r="67" spans="1:5" hidden="1" x14ac:dyDescent="0.25">
      <c r="A67" s="3">
        <v>43976</v>
      </c>
      <c r="B67" t="s">
        <v>120</v>
      </c>
      <c r="C67" t="s">
        <v>626</v>
      </c>
      <c r="D67" t="s">
        <v>796</v>
      </c>
      <c r="E67" t="s">
        <v>396</v>
      </c>
    </row>
    <row r="68" spans="1:5" hidden="1" x14ac:dyDescent="0.25">
      <c r="A68" s="3">
        <v>43976</v>
      </c>
      <c r="B68" t="s">
        <v>120</v>
      </c>
      <c r="C68" t="s">
        <v>626</v>
      </c>
      <c r="D68" t="s">
        <v>797</v>
      </c>
      <c r="E68" t="s">
        <v>396</v>
      </c>
    </row>
    <row r="69" spans="1:5" hidden="1" x14ac:dyDescent="0.25">
      <c r="A69" s="3">
        <v>43976</v>
      </c>
      <c r="B69" t="s">
        <v>120</v>
      </c>
      <c r="C69" t="s">
        <v>626</v>
      </c>
      <c r="D69" t="s">
        <v>798</v>
      </c>
      <c r="E69" t="s">
        <v>396</v>
      </c>
    </row>
    <row r="70" spans="1:5" x14ac:dyDescent="0.25">
      <c r="A70" s="3">
        <v>43976</v>
      </c>
      <c r="B70" t="s">
        <v>120</v>
      </c>
      <c r="C70" t="s">
        <v>147</v>
      </c>
      <c r="D70" t="s">
        <v>745</v>
      </c>
    </row>
    <row r="71" spans="1:5" x14ac:dyDescent="0.25">
      <c r="A71" s="3">
        <v>43976</v>
      </c>
      <c r="B71" t="s">
        <v>120</v>
      </c>
      <c r="C71" t="s">
        <v>629</v>
      </c>
      <c r="D71" t="s">
        <v>630</v>
      </c>
    </row>
    <row r="72" spans="1:5" hidden="1" x14ac:dyDescent="0.25">
      <c r="A72" s="3">
        <v>43976</v>
      </c>
      <c r="B72" t="s">
        <v>120</v>
      </c>
      <c r="C72" t="s">
        <v>638</v>
      </c>
      <c r="D72" t="s">
        <v>639</v>
      </c>
      <c r="E72" t="s">
        <v>396</v>
      </c>
    </row>
    <row r="73" spans="1:5" hidden="1" x14ac:dyDescent="0.25">
      <c r="A73" s="3">
        <v>43976</v>
      </c>
      <c r="B73" t="s">
        <v>120</v>
      </c>
      <c r="C73" t="s">
        <v>640</v>
      </c>
      <c r="D73" t="s">
        <v>641</v>
      </c>
      <c r="E73" t="s">
        <v>396</v>
      </c>
    </row>
    <row r="74" spans="1:5" hidden="1" x14ac:dyDescent="0.25">
      <c r="A74" s="3">
        <v>43976</v>
      </c>
      <c r="B74" t="s">
        <v>120</v>
      </c>
      <c r="C74" t="s">
        <v>642</v>
      </c>
      <c r="D74" t="s">
        <v>643</v>
      </c>
      <c r="E74" t="s">
        <v>396</v>
      </c>
    </row>
    <row r="75" spans="1:5" x14ac:dyDescent="0.25">
      <c r="A75" s="3">
        <v>43976</v>
      </c>
      <c r="B75" t="s">
        <v>120</v>
      </c>
      <c r="C75" t="s">
        <v>644</v>
      </c>
      <c r="D75" t="s">
        <v>645</v>
      </c>
    </row>
    <row r="76" spans="1:5" x14ac:dyDescent="0.25">
      <c r="A76" s="3">
        <v>43978</v>
      </c>
      <c r="B76" t="s">
        <v>120</v>
      </c>
      <c r="C76" t="s">
        <v>347</v>
      </c>
      <c r="D76" t="s">
        <v>649</v>
      </c>
    </row>
    <row r="77" spans="1:5" x14ac:dyDescent="0.25">
      <c r="A77" s="3">
        <v>43978</v>
      </c>
      <c r="B77" t="s">
        <v>120</v>
      </c>
      <c r="C77" t="s">
        <v>640</v>
      </c>
      <c r="D77" t="s">
        <v>650</v>
      </c>
    </row>
    <row r="78" spans="1:5" hidden="1" x14ac:dyDescent="0.25">
      <c r="A78" s="3">
        <v>43982</v>
      </c>
      <c r="B78" t="s">
        <v>120</v>
      </c>
      <c r="C78" t="s">
        <v>511</v>
      </c>
      <c r="D78" t="s">
        <v>744</v>
      </c>
      <c r="E78" t="s">
        <v>396</v>
      </c>
    </row>
    <row r="79" spans="1:5" x14ac:dyDescent="0.25">
      <c r="A79" s="3">
        <v>43982</v>
      </c>
      <c r="B79" t="s">
        <v>120</v>
      </c>
      <c r="C79" t="s">
        <v>346</v>
      </c>
      <c r="D79" t="s">
        <v>746</v>
      </c>
    </row>
    <row r="80" spans="1:5" x14ac:dyDescent="0.25">
      <c r="A80" s="3">
        <v>43982</v>
      </c>
      <c r="B80" t="s">
        <v>120</v>
      </c>
      <c r="C80" t="s">
        <v>346</v>
      </c>
      <c r="D80" t="s">
        <v>747</v>
      </c>
    </row>
    <row r="81" spans="1:5" hidden="1" x14ac:dyDescent="0.25">
      <c r="A81" s="3">
        <v>43982</v>
      </c>
      <c r="B81" t="s">
        <v>120</v>
      </c>
      <c r="C81" t="s">
        <v>345</v>
      </c>
      <c r="D81" t="s">
        <v>748</v>
      </c>
      <c r="E81" t="s">
        <v>396</v>
      </c>
    </row>
    <row r="82" spans="1:5" x14ac:dyDescent="0.25">
      <c r="A82" s="3">
        <v>43987</v>
      </c>
      <c r="B82" t="s">
        <v>120</v>
      </c>
      <c r="C82" t="s">
        <v>764</v>
      </c>
      <c r="D82" t="s">
        <v>765</v>
      </c>
    </row>
    <row r="83" spans="1:5" x14ac:dyDescent="0.25">
      <c r="A83" s="3">
        <v>43987</v>
      </c>
      <c r="B83" t="s">
        <v>120</v>
      </c>
      <c r="C83" t="s">
        <v>764</v>
      </c>
      <c r="D83" t="s">
        <v>767</v>
      </c>
    </row>
    <row r="84" spans="1:5" x14ac:dyDescent="0.25">
      <c r="A84" s="3">
        <v>43987</v>
      </c>
      <c r="B84" t="s">
        <v>120</v>
      </c>
      <c r="C84" t="s">
        <v>764</v>
      </c>
      <c r="D84" t="s">
        <v>766</v>
      </c>
    </row>
    <row r="85" spans="1:5" x14ac:dyDescent="0.25">
      <c r="A85" s="3">
        <v>43987</v>
      </c>
      <c r="B85" t="s">
        <v>120</v>
      </c>
      <c r="C85" t="s">
        <v>764</v>
      </c>
      <c r="D85" t="s">
        <v>768</v>
      </c>
    </row>
    <row r="86" spans="1:5" x14ac:dyDescent="0.25">
      <c r="A86" s="3">
        <v>43987</v>
      </c>
      <c r="B86" t="s">
        <v>120</v>
      </c>
      <c r="C86" t="s">
        <v>769</v>
      </c>
      <c r="D86" t="s">
        <v>770</v>
      </c>
    </row>
    <row r="87" spans="1:5" x14ac:dyDescent="0.25">
      <c r="A87" s="3">
        <v>43988</v>
      </c>
      <c r="B87" t="s">
        <v>120</v>
      </c>
      <c r="C87" t="s">
        <v>771</v>
      </c>
      <c r="D87" t="s">
        <v>772</v>
      </c>
    </row>
    <row r="88" spans="1:5" x14ac:dyDescent="0.25">
      <c r="A88" s="3">
        <v>43990</v>
      </c>
      <c r="B88" t="s">
        <v>120</v>
      </c>
      <c r="C88" t="s">
        <v>764</v>
      </c>
      <c r="D88" t="s">
        <v>795</v>
      </c>
    </row>
    <row r="89" spans="1:5" x14ac:dyDescent="0.25">
      <c r="A89" s="3">
        <v>43992</v>
      </c>
      <c r="B89" t="s">
        <v>154</v>
      </c>
      <c r="C89" t="s">
        <v>513</v>
      </c>
      <c r="D89" t="s">
        <v>810</v>
      </c>
    </row>
    <row r="90" spans="1:5" x14ac:dyDescent="0.25">
      <c r="A90" s="3">
        <v>43992</v>
      </c>
      <c r="B90" t="s">
        <v>154</v>
      </c>
      <c r="C90" t="s">
        <v>771</v>
      </c>
      <c r="D90" t="s">
        <v>811</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A7A2-8D6F-4E35-8C13-A662192A5C6A}">
  <sheetPr codeName="Tabelle6"/>
  <dimension ref="A1:C10"/>
  <sheetViews>
    <sheetView workbookViewId="0">
      <selection activeCell="A11" sqref="A11"/>
    </sheetView>
  </sheetViews>
  <sheetFormatPr baseColWidth="10" defaultRowHeight="15" x14ac:dyDescent="0.25"/>
  <cols>
    <col min="1" max="1" width="16.28515625" customWidth="1"/>
    <col min="3" max="3" width="16.7109375" bestFit="1" customWidth="1"/>
  </cols>
  <sheetData>
    <row r="1" spans="1:3" x14ac:dyDescent="0.25">
      <c r="A1" t="s">
        <v>399</v>
      </c>
      <c r="C1" t="s">
        <v>142</v>
      </c>
    </row>
    <row r="2" spans="1:3" x14ac:dyDescent="0.25">
      <c r="A2" t="s">
        <v>6</v>
      </c>
      <c r="C2" t="s">
        <v>143</v>
      </c>
    </row>
    <row r="3" spans="1:3" x14ac:dyDescent="0.25">
      <c r="A3" t="s">
        <v>395</v>
      </c>
      <c r="C3" t="s">
        <v>402</v>
      </c>
    </row>
    <row r="4" spans="1:3" x14ac:dyDescent="0.25">
      <c r="A4" t="s">
        <v>237</v>
      </c>
    </row>
    <row r="5" spans="1:3" x14ac:dyDescent="0.25">
      <c r="A5" t="s">
        <v>4</v>
      </c>
    </row>
    <row r="6" spans="1:3" x14ac:dyDescent="0.25">
      <c r="A6" t="s">
        <v>242</v>
      </c>
    </row>
    <row r="7" spans="1:3" x14ac:dyDescent="0.25">
      <c r="A7" t="s">
        <v>236</v>
      </c>
    </row>
    <row r="8" spans="1:3" x14ac:dyDescent="0.25">
      <c r="A8" t="s">
        <v>400</v>
      </c>
    </row>
    <row r="9" spans="1:3" x14ac:dyDescent="0.25">
      <c r="A9" t="s">
        <v>401</v>
      </c>
    </row>
    <row r="10" spans="1:3" x14ac:dyDescent="0.25">
      <c r="A10" t="s">
        <v>497</v>
      </c>
    </row>
  </sheetData>
  <pageMargins left="0.7" right="0.7" top="0.78740157499999996" bottom="0.78740157499999996"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vt:i4>
      </vt:variant>
    </vt:vector>
  </HeadingPairs>
  <TitlesOfParts>
    <vt:vector size="13" baseType="lpstr">
      <vt:lpstr>Overview</vt:lpstr>
      <vt:lpstr>Tables</vt:lpstr>
      <vt:lpstr>Fields</vt:lpstr>
      <vt:lpstr>Types</vt:lpstr>
      <vt:lpstr>Tasks</vt:lpstr>
      <vt:lpstr>Lists</vt:lpstr>
      <vt:lpstr>ContextBase</vt:lpstr>
      <vt:lpstr>DBContext</vt:lpstr>
      <vt:lpstr>FolderBusinessModel</vt:lpstr>
      <vt:lpstr>FolderEntityModel</vt:lpstr>
      <vt:lpstr>FolderScripts</vt:lpstr>
      <vt:lpstr>ListSQLTypes</vt:lpstr>
      <vt:lpstr>Namespace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dcterms:created xsi:type="dcterms:W3CDTF">2020-04-28T16:11:43Z</dcterms:created>
  <dcterms:modified xsi:type="dcterms:W3CDTF">2020-06-14T09:16:25Z</dcterms:modified>
</cp:coreProperties>
</file>