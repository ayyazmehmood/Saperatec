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DieseArbeitsmappe" defaultThemeVersion="166925"/>
  <mc:AlternateContent xmlns:mc="http://schemas.openxmlformats.org/markup-compatibility/2006">
    <mc:Choice Requires="x15">
      <x15ac:absPath xmlns:x15ac="http://schemas.microsoft.com/office/spreadsheetml/2010/11/ac" url="D:\Verum Project\Project\Verum\VerumDatabase\DataDictionary\"/>
    </mc:Choice>
  </mc:AlternateContent>
  <xr:revisionPtr revIDLastSave="0" documentId="13_ncr:1_{4C6B2AD9-5A53-455A-8724-6B4A6EEAC539}" xr6:coauthVersionLast="47" xr6:coauthVersionMax="47" xr10:uidLastSave="{00000000-0000-0000-0000-000000000000}"/>
  <bookViews>
    <workbookView xWindow="-108" yWindow="-108" windowWidth="23256" windowHeight="13896" activeTab="2" xr2:uid="{44421DB1-5133-4875-B38D-8CA24476C50F}"/>
  </bookViews>
  <sheets>
    <sheet name="Overview" sheetId="4" r:id="rId1"/>
    <sheet name="Tables" sheetId="2" r:id="rId2"/>
    <sheet name="Fields" sheetId="1" r:id="rId3"/>
    <sheet name="Types" sheetId="6" r:id="rId4"/>
    <sheet name="Tasks" sheetId="3" r:id="rId5"/>
    <sheet name="Lists" sheetId="5" r:id="rId6"/>
  </sheets>
  <functionGroups builtInGroupCount="19"/>
  <definedNames>
    <definedName name="ContextBase">Overview!$C$18</definedName>
    <definedName name="DBContext">Overview!$C$17</definedName>
    <definedName name="FolderBusinessModel">Overview!$C$14</definedName>
    <definedName name="FolderEntityModel">Overview!$C$13</definedName>
    <definedName name="FolderScripts">Overview!$C$12</definedName>
    <definedName name="ListSQLTypes">SQLFieldTypes[]</definedName>
    <definedName name="Namespace">Overview!$C$19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70" i="1" l="1"/>
  <c r="M69" i="1"/>
  <c r="M100" i="1"/>
  <c r="M99" i="1"/>
  <c r="M98" i="1"/>
  <c r="M91" i="1"/>
  <c r="M90" i="1"/>
  <c r="M68" i="1"/>
  <c r="M67" i="1"/>
  <c r="M66" i="1"/>
  <c r="M65" i="1"/>
  <c r="M89" i="1"/>
  <c r="M292" i="1"/>
  <c r="M88" i="1"/>
  <c r="M291" i="1"/>
  <c r="M97" i="1"/>
  <c r="D59" i="6"/>
  <c r="D58" i="6"/>
  <c r="D57" i="6"/>
  <c r="D56" i="6"/>
  <c r="D55" i="6"/>
  <c r="D54" i="6"/>
  <c r="D53" i="6"/>
  <c r="D52" i="6"/>
  <c r="D51" i="6"/>
  <c r="D50" i="6"/>
  <c r="D49" i="6"/>
  <c r="D48" i="6"/>
  <c r="D47" i="6"/>
  <c r="D46" i="6"/>
  <c r="D45" i="6"/>
  <c r="D44" i="6"/>
  <c r="D43" i="6"/>
  <c r="D42" i="6"/>
  <c r="D41" i="6"/>
  <c r="D40" i="6"/>
  <c r="D39" i="6"/>
  <c r="D38" i="6"/>
  <c r="D37" i="6"/>
  <c r="D36" i="6"/>
  <c r="D35" i="6"/>
  <c r="D34" i="6"/>
  <c r="D33" i="6"/>
  <c r="D32" i="6"/>
  <c r="D31" i="6"/>
  <c r="D30" i="6"/>
  <c r="D29" i="6"/>
  <c r="D28" i="6"/>
  <c r="D27" i="6"/>
  <c r="D26" i="6"/>
  <c r="D25" i="6"/>
  <c r="D24" i="6"/>
  <c r="D23" i="6"/>
  <c r="D22" i="6"/>
  <c r="D21" i="6"/>
  <c r="D20" i="6"/>
  <c r="D19" i="6"/>
  <c r="D18" i="6"/>
  <c r="D17" i="6"/>
  <c r="D16" i="6"/>
  <c r="D15" i="6"/>
  <c r="D14" i="6"/>
  <c r="D13" i="6"/>
  <c r="D12" i="6"/>
  <c r="D11" i="6"/>
  <c r="D10" i="6"/>
  <c r="D9" i="6"/>
  <c r="D8" i="6"/>
  <c r="D7" i="6"/>
  <c r="D6" i="6"/>
  <c r="D5" i="6"/>
  <c r="D3" i="6"/>
  <c r="D2" i="6"/>
  <c r="M87" i="1" l="1"/>
  <c r="M86" i="1" l="1"/>
  <c r="M139" i="1" l="1"/>
  <c r="M10" i="1" l="1"/>
  <c r="M11" i="1"/>
  <c r="M16" i="1"/>
  <c r="M13" i="1"/>
  <c r="N21" i="1"/>
  <c r="M21" i="1"/>
  <c r="M27" i="1"/>
  <c r="M28" i="1"/>
  <c r="M29" i="1"/>
  <c r="M24" i="1"/>
  <c r="M22" i="1"/>
  <c r="M25" i="1"/>
  <c r="M30" i="1"/>
  <c r="H40" i="2"/>
  <c r="I40" i="2"/>
  <c r="H11" i="2"/>
  <c r="I11" i="2"/>
  <c r="H10" i="2"/>
  <c r="I10" i="2"/>
  <c r="M184" i="1" l="1"/>
  <c r="M81" i="1" l="1"/>
  <c r="M48" i="1"/>
  <c r="M238" i="1" l="1"/>
  <c r="M150" i="1" l="1"/>
  <c r="M244" i="1" l="1"/>
  <c r="M194" i="1" l="1"/>
  <c r="M195" i="1"/>
  <c r="M196" i="1"/>
  <c r="M83" i="1"/>
  <c r="N77" i="1"/>
  <c r="M77" i="1"/>
  <c r="M78" i="1"/>
  <c r="M79" i="1"/>
  <c r="N76" i="1"/>
  <c r="M76" i="1"/>
  <c r="N74" i="1"/>
  <c r="M74" i="1"/>
  <c r="N73" i="1"/>
  <c r="M73" i="1"/>
  <c r="M53" i="1"/>
  <c r="N53" i="1"/>
  <c r="M54" i="1"/>
  <c r="N54" i="1"/>
  <c r="M55" i="1"/>
  <c r="N55" i="1"/>
  <c r="M56" i="1"/>
  <c r="N56" i="1"/>
  <c r="M57" i="1"/>
  <c r="N57" i="1"/>
  <c r="M72" i="1" l="1"/>
  <c r="M80" i="1"/>
  <c r="M82" i="1"/>
  <c r="M37" i="1" l="1"/>
  <c r="M36" i="1"/>
  <c r="M121" i="1" l="1"/>
  <c r="M122" i="1"/>
  <c r="M123" i="1"/>
  <c r="M124" i="1"/>
  <c r="M125" i="1"/>
  <c r="M126" i="1"/>
  <c r="M127" i="1"/>
  <c r="M128" i="1"/>
  <c r="M129" i="1"/>
  <c r="M130" i="1"/>
  <c r="M131" i="1"/>
  <c r="M132" i="1"/>
  <c r="M133" i="1"/>
  <c r="D9" i="2"/>
  <c r="D8" i="2"/>
  <c r="H9" i="2"/>
  <c r="I9" i="2"/>
  <c r="H8" i="2"/>
  <c r="I8" i="2"/>
  <c r="M311" i="1"/>
  <c r="M312" i="1"/>
  <c r="M262" i="1" l="1"/>
  <c r="M261" i="1"/>
  <c r="M260" i="1"/>
  <c r="M259" i="1"/>
  <c r="M43" i="1" l="1"/>
  <c r="M20" i="1" l="1"/>
  <c r="M17" i="1"/>
  <c r="M18" i="1"/>
  <c r="M19" i="1"/>
  <c r="M38" i="1" l="1"/>
  <c r="M96" i="1"/>
  <c r="M42" i="1"/>
  <c r="M41" i="1"/>
  <c r="M40" i="1"/>
  <c r="M241" i="1" l="1"/>
  <c r="M216" i="1" l="1"/>
  <c r="M248" i="1"/>
  <c r="M255" i="1"/>
  <c r="M164" i="1"/>
  <c r="N164" i="1"/>
  <c r="Q164" i="1"/>
  <c r="M242" i="1" l="1"/>
  <c r="N211" i="1" l="1"/>
  <c r="M243" i="1"/>
  <c r="Q237" i="1"/>
  <c r="N237" i="1"/>
  <c r="M237" i="1"/>
  <c r="M240" i="1"/>
  <c r="M239" i="1"/>
  <c r="M236" i="1"/>
  <c r="M235" i="1"/>
  <c r="N234" i="1"/>
  <c r="M234" i="1"/>
  <c r="M247" i="1"/>
  <c r="M253" i="1"/>
  <c r="M246" i="1"/>
  <c r="N245" i="1"/>
  <c r="M245" i="1"/>
  <c r="H32" i="2"/>
  <c r="I32" i="2"/>
  <c r="I30" i="2"/>
  <c r="H30" i="2"/>
  <c r="N249" i="1"/>
  <c r="M249" i="1"/>
  <c r="N256" i="1"/>
  <c r="M256" i="1"/>
  <c r="Q251" i="1"/>
  <c r="N251" i="1"/>
  <c r="M251" i="1"/>
  <c r="M252" i="1"/>
  <c r="M254" i="1"/>
  <c r="M270" i="1"/>
  <c r="M269" i="1"/>
  <c r="M268" i="1"/>
  <c r="M267" i="1"/>
  <c r="M266" i="1"/>
  <c r="M265" i="1"/>
  <c r="M264" i="1"/>
  <c r="M263" i="1"/>
  <c r="M258" i="1"/>
  <c r="M257" i="1"/>
  <c r="M250" i="1"/>
  <c r="Q211" i="1"/>
  <c r="Q210" i="1"/>
  <c r="N210" i="1"/>
  <c r="M213" i="1"/>
  <c r="M212" i="1"/>
  <c r="M211" i="1"/>
  <c r="M210" i="1"/>
  <c r="Q209" i="1"/>
  <c r="N209" i="1"/>
  <c r="M209" i="1"/>
  <c r="Q208" i="1"/>
  <c r="N208" i="1"/>
  <c r="M208" i="1"/>
  <c r="H31" i="2"/>
  <c r="I31" i="2"/>
  <c r="H29" i="2"/>
  <c r="I29" i="2"/>
  <c r="H36" i="2"/>
  <c r="I36" i="2"/>
  <c r="D4" i="6" l="1"/>
  <c r="M227" i="1" l="1"/>
  <c r="M226" i="1"/>
  <c r="M183" i="1"/>
  <c r="M182" i="1"/>
  <c r="M181" i="1"/>
  <c r="M180" i="1"/>
  <c r="M179" i="1"/>
  <c r="M224" i="1"/>
  <c r="M223" i="1"/>
  <c r="M222" i="1"/>
  <c r="M221" i="1"/>
  <c r="M220" i="1"/>
  <c r="M219" i="1"/>
  <c r="M218" i="1"/>
  <c r="M217" i="1"/>
  <c r="M225" i="1"/>
  <c r="M178" i="1"/>
  <c r="M177" i="1"/>
  <c r="M176" i="1"/>
  <c r="M173" i="1"/>
  <c r="M175" i="1"/>
  <c r="M174" i="1"/>
  <c r="M172" i="1"/>
  <c r="M171" i="1"/>
  <c r="N227" i="1"/>
  <c r="N226" i="1"/>
  <c r="Q183" i="1"/>
  <c r="N183" i="1"/>
  <c r="N182" i="1"/>
  <c r="N181" i="1"/>
  <c r="N180" i="1"/>
  <c r="N179" i="1"/>
  <c r="N224" i="1"/>
  <c r="N223" i="1"/>
  <c r="N222" i="1"/>
  <c r="N221" i="1"/>
  <c r="N220" i="1"/>
  <c r="N219" i="1"/>
  <c r="N218" i="1"/>
  <c r="N217" i="1"/>
  <c r="Q225" i="1"/>
  <c r="N225" i="1"/>
  <c r="Q178" i="1"/>
  <c r="N178" i="1"/>
  <c r="Q177" i="1"/>
  <c r="N177" i="1"/>
  <c r="Q176" i="1"/>
  <c r="N176" i="1"/>
  <c r="Q173" i="1"/>
  <c r="N173" i="1"/>
  <c r="N175" i="1"/>
  <c r="Q174" i="1"/>
  <c r="N174" i="1"/>
  <c r="Q172" i="1"/>
  <c r="N172" i="1"/>
  <c r="Q171" i="1"/>
  <c r="N171" i="1"/>
  <c r="I35" i="2"/>
  <c r="H35" i="2"/>
  <c r="M152" i="1" l="1"/>
  <c r="M153" i="1"/>
  <c r="M154" i="1"/>
  <c r="M155" i="1"/>
  <c r="M156" i="1"/>
  <c r="M157" i="1"/>
  <c r="M158" i="1"/>
  <c r="M106" i="1" l="1"/>
  <c r="M104" i="1"/>
  <c r="M232" i="1"/>
  <c r="M233" i="1"/>
  <c r="N191" i="1" l="1"/>
  <c r="M191" i="1"/>
  <c r="M151" i="1" l="1"/>
  <c r="Q190" i="1"/>
  <c r="N190" i="1"/>
  <c r="M190" i="1"/>
  <c r="M310" i="1" l="1"/>
  <c r="M301" i="1"/>
  <c r="M300" i="1"/>
  <c r="H7" i="2"/>
  <c r="I7" i="2"/>
  <c r="M309" i="1"/>
  <c r="M308" i="1"/>
  <c r="M307" i="1"/>
  <c r="M306" i="1"/>
  <c r="H6" i="2"/>
  <c r="I6" i="2"/>
  <c r="M112" i="1" l="1"/>
  <c r="M111" i="1"/>
  <c r="N111" i="1"/>
  <c r="Q111" i="1"/>
  <c r="Q109" i="1"/>
  <c r="N109" i="1"/>
  <c r="M109" i="1"/>
  <c r="Q115" i="1" l="1"/>
  <c r="N115" i="1"/>
  <c r="M115" i="1"/>
  <c r="Q207" i="1"/>
  <c r="N207" i="1"/>
  <c r="M207" i="1"/>
  <c r="M320" i="1" l="1"/>
  <c r="M316" i="1"/>
  <c r="M304" i="1" l="1"/>
  <c r="N302" i="1"/>
  <c r="M302" i="1"/>
  <c r="M303" i="1"/>
  <c r="H4" i="2"/>
  <c r="I4" i="2"/>
  <c r="N199" i="1" l="1"/>
  <c r="N275" i="1"/>
  <c r="M275" i="1"/>
  <c r="N274" i="1"/>
  <c r="M274" i="1"/>
  <c r="N273" i="1"/>
  <c r="M273" i="1"/>
  <c r="N272" i="1"/>
  <c r="M272" i="1"/>
  <c r="N271" i="1"/>
  <c r="M271" i="1"/>
  <c r="H24" i="2"/>
  <c r="I24" i="2"/>
  <c r="M149" i="1"/>
  <c r="H28" i="2" l="1"/>
  <c r="I28" i="2"/>
  <c r="N323" i="1" l="1"/>
  <c r="N322" i="1"/>
  <c r="N321" i="1"/>
  <c r="N319" i="1"/>
  <c r="N318" i="1"/>
  <c r="N317" i="1"/>
  <c r="N315" i="1"/>
  <c r="N314" i="1"/>
  <c r="N313" i="1"/>
  <c r="N299" i="1"/>
  <c r="N298" i="1"/>
  <c r="N297" i="1"/>
  <c r="N296" i="1"/>
  <c r="N295" i="1"/>
  <c r="N294" i="1"/>
  <c r="N293" i="1"/>
  <c r="N290" i="1"/>
  <c r="N289" i="1"/>
  <c r="N288" i="1"/>
  <c r="N287" i="1"/>
  <c r="N286" i="1"/>
  <c r="N285" i="1"/>
  <c r="N284" i="1"/>
  <c r="N283" i="1"/>
  <c r="N282" i="1"/>
  <c r="N281" i="1"/>
  <c r="N280" i="1"/>
  <c r="N279" i="1"/>
  <c r="N278" i="1"/>
  <c r="N277" i="1"/>
  <c r="N276" i="1"/>
  <c r="N231" i="1"/>
  <c r="N230" i="1"/>
  <c r="N305" i="1"/>
  <c r="N113" i="1"/>
  <c r="N110" i="1"/>
  <c r="N229" i="1"/>
  <c r="N228" i="1"/>
  <c r="N215" i="1"/>
  <c r="N214" i="1"/>
  <c r="N170" i="1"/>
  <c r="N169" i="1"/>
  <c r="N168" i="1"/>
  <c r="N167" i="1"/>
  <c r="N166" i="1"/>
  <c r="N165" i="1"/>
  <c r="N163" i="1"/>
  <c r="N162" i="1"/>
  <c r="N206" i="1"/>
  <c r="N205" i="1"/>
  <c r="N204" i="1"/>
  <c r="N203" i="1"/>
  <c r="N202" i="1"/>
  <c r="N201" i="1"/>
  <c r="N200" i="1"/>
  <c r="N198" i="1"/>
  <c r="N197" i="1"/>
  <c r="N193" i="1"/>
  <c r="N192" i="1"/>
  <c r="N189" i="1"/>
  <c r="N188" i="1"/>
  <c r="N187" i="1"/>
  <c r="N186" i="1"/>
  <c r="N185" i="1"/>
  <c r="N161" i="1"/>
  <c r="N160" i="1"/>
  <c r="N159" i="1"/>
  <c r="N148" i="1"/>
  <c r="N147" i="1"/>
  <c r="N146" i="1"/>
  <c r="N145" i="1"/>
  <c r="N144" i="1"/>
  <c r="N142" i="1"/>
  <c r="N141" i="1"/>
  <c r="N140" i="1"/>
  <c r="N138" i="1"/>
  <c r="N137" i="1"/>
  <c r="N136" i="1"/>
  <c r="N135" i="1"/>
  <c r="N134" i="1"/>
  <c r="N120" i="1"/>
  <c r="N119" i="1"/>
  <c r="N118" i="1"/>
  <c r="N117" i="1"/>
  <c r="N116" i="1"/>
  <c r="N114" i="1"/>
  <c r="N108" i="1"/>
  <c r="N107" i="1"/>
  <c r="N105" i="1"/>
  <c r="N103" i="1"/>
  <c r="N102" i="1"/>
  <c r="N101" i="1"/>
  <c r="N95" i="1"/>
  <c r="N94" i="1"/>
  <c r="N93" i="1"/>
  <c r="N92" i="1"/>
  <c r="N85" i="1"/>
  <c r="N84" i="1"/>
  <c r="N75" i="1"/>
  <c r="N71" i="1"/>
  <c r="N64" i="1"/>
  <c r="N63" i="1"/>
  <c r="N62" i="1"/>
  <c r="N61" i="1"/>
  <c r="N60" i="1"/>
  <c r="N59" i="1"/>
  <c r="N58" i="1"/>
  <c r="N52" i="1"/>
  <c r="N51" i="1"/>
  <c r="N50" i="1"/>
  <c r="N49" i="1"/>
  <c r="N47" i="1"/>
  <c r="N46" i="1"/>
  <c r="N45" i="1"/>
  <c r="N44" i="1"/>
  <c r="N39" i="1"/>
  <c r="N35" i="1"/>
  <c r="N34" i="1"/>
  <c r="N33" i="1"/>
  <c r="N32" i="1"/>
  <c r="N31" i="1"/>
  <c r="N15" i="1"/>
  <c r="N14" i="1"/>
  <c r="N9" i="1"/>
  <c r="N8" i="1"/>
  <c r="N7" i="1"/>
  <c r="N6" i="1"/>
  <c r="N5" i="1"/>
  <c r="N4" i="1"/>
  <c r="N3" i="1"/>
  <c r="M323" i="1" l="1"/>
  <c r="M322" i="1"/>
  <c r="M321" i="1"/>
  <c r="M319" i="1"/>
  <c r="M318" i="1"/>
  <c r="M317" i="1"/>
  <c r="M315" i="1"/>
  <c r="M314" i="1"/>
  <c r="M313" i="1"/>
  <c r="M299" i="1"/>
  <c r="M298" i="1"/>
  <c r="M297" i="1"/>
  <c r="M296" i="1"/>
  <c r="M295" i="1"/>
  <c r="M294" i="1"/>
  <c r="M293" i="1"/>
  <c r="M290" i="1"/>
  <c r="M289" i="1"/>
  <c r="M288" i="1"/>
  <c r="M287" i="1"/>
  <c r="M286" i="1"/>
  <c r="M285" i="1"/>
  <c r="M284" i="1"/>
  <c r="M283" i="1"/>
  <c r="M282" i="1"/>
  <c r="M281" i="1"/>
  <c r="M280" i="1"/>
  <c r="M279" i="1"/>
  <c r="M278" i="1"/>
  <c r="M277" i="1"/>
  <c r="M276" i="1"/>
  <c r="M231" i="1"/>
  <c r="M230" i="1"/>
  <c r="M305" i="1"/>
  <c r="M113" i="1"/>
  <c r="M110" i="1"/>
  <c r="M229" i="1"/>
  <c r="M228" i="1"/>
  <c r="M215" i="1"/>
  <c r="M214" i="1"/>
  <c r="M170" i="1"/>
  <c r="M169" i="1"/>
  <c r="M168" i="1"/>
  <c r="M167" i="1"/>
  <c r="M166" i="1"/>
  <c r="M165" i="1"/>
  <c r="M163" i="1"/>
  <c r="M162" i="1"/>
  <c r="M206" i="1"/>
  <c r="M205" i="1"/>
  <c r="M204" i="1"/>
  <c r="M203" i="1"/>
  <c r="M202" i="1"/>
  <c r="M201" i="1"/>
  <c r="M200" i="1"/>
  <c r="M199" i="1"/>
  <c r="M198" i="1"/>
  <c r="M197" i="1"/>
  <c r="M193" i="1"/>
  <c r="M192" i="1"/>
  <c r="M189" i="1"/>
  <c r="M188" i="1"/>
  <c r="M187" i="1"/>
  <c r="M186" i="1"/>
  <c r="M185" i="1"/>
  <c r="M161" i="1"/>
  <c r="M160" i="1"/>
  <c r="M159" i="1"/>
  <c r="M148" i="1"/>
  <c r="M147" i="1"/>
  <c r="M146" i="1"/>
  <c r="M145" i="1"/>
  <c r="M144" i="1"/>
  <c r="M142" i="1"/>
  <c r="M141" i="1"/>
  <c r="M140" i="1"/>
  <c r="M138" i="1"/>
  <c r="M137" i="1"/>
  <c r="M136" i="1"/>
  <c r="M135" i="1"/>
  <c r="M134" i="1"/>
  <c r="M120" i="1"/>
  <c r="M119" i="1"/>
  <c r="M118" i="1"/>
  <c r="M117" i="1"/>
  <c r="M116" i="1"/>
  <c r="M114" i="1"/>
  <c r="M108" i="1"/>
  <c r="M107" i="1"/>
  <c r="M105" i="1"/>
  <c r="M103" i="1"/>
  <c r="M102" i="1"/>
  <c r="M101" i="1"/>
  <c r="M95" i="1"/>
  <c r="M94" i="1"/>
  <c r="M93" i="1"/>
  <c r="M92" i="1"/>
  <c r="M85" i="1"/>
  <c r="M84" i="1"/>
  <c r="M75" i="1"/>
  <c r="M71" i="1"/>
  <c r="M64" i="1"/>
  <c r="M63" i="1"/>
  <c r="M62" i="1"/>
  <c r="M61" i="1"/>
  <c r="M60" i="1"/>
  <c r="M59" i="1"/>
  <c r="M58" i="1"/>
  <c r="M52" i="1"/>
  <c r="M51" i="1"/>
  <c r="M50" i="1"/>
  <c r="M49" i="1"/>
  <c r="M47" i="1"/>
  <c r="M46" i="1"/>
  <c r="M45" i="1"/>
  <c r="M44" i="1"/>
  <c r="M39" i="1"/>
  <c r="M35" i="1"/>
  <c r="M34" i="1"/>
  <c r="M33" i="1"/>
  <c r="M32" i="1"/>
  <c r="M31" i="1"/>
  <c r="M15" i="1"/>
  <c r="M14" i="1"/>
  <c r="M9" i="1"/>
  <c r="M8" i="1"/>
  <c r="M7" i="1"/>
  <c r="M6" i="1"/>
  <c r="M5" i="1"/>
  <c r="M4" i="1"/>
  <c r="M3" i="1"/>
  <c r="H3" i="2" l="1"/>
  <c r="H2" i="2"/>
  <c r="H5" i="2"/>
  <c r="H14" i="2"/>
  <c r="H13" i="2"/>
  <c r="H12" i="2"/>
  <c r="H15" i="2"/>
  <c r="H16" i="2"/>
  <c r="H17" i="2"/>
  <c r="H18" i="2"/>
  <c r="H19" i="2"/>
  <c r="H20" i="2"/>
  <c r="H21" i="2"/>
  <c r="H23" i="2"/>
  <c r="H22" i="2"/>
  <c r="H27" i="2"/>
  <c r="H33" i="2"/>
  <c r="H25" i="2"/>
  <c r="H26" i="2"/>
  <c r="H37" i="2"/>
  <c r="H34" i="2"/>
  <c r="H38" i="2"/>
  <c r="H39" i="2"/>
  <c r="I3" i="2"/>
  <c r="I2" i="2"/>
  <c r="I5" i="2"/>
  <c r="I14" i="2"/>
  <c r="I13" i="2"/>
  <c r="I12" i="2"/>
  <c r="I15" i="2"/>
  <c r="I16" i="2"/>
  <c r="I17" i="2"/>
  <c r="I18" i="2"/>
  <c r="I19" i="2"/>
  <c r="I20" i="2"/>
  <c r="I21" i="2"/>
  <c r="I23" i="2"/>
  <c r="I22" i="2"/>
  <c r="I27" i="2"/>
  <c r="I33" i="2"/>
  <c r="I25" i="2"/>
  <c r="I26" i="2"/>
  <c r="I37" i="2"/>
  <c r="I34" i="2"/>
  <c r="I38" i="2"/>
  <c r="I39" i="2"/>
  <c r="Q63" i="1" l="1"/>
  <c r="Q305" i="1" l="1"/>
  <c r="Q110" i="1"/>
  <c r="Q168" i="1"/>
  <c r="Q315" i="1"/>
  <c r="Q314" i="1"/>
  <c r="Q285" i="1"/>
  <c r="Q284" i="1"/>
  <c r="Q230" i="1"/>
  <c r="Q215" i="1"/>
  <c r="Q214" i="1"/>
  <c r="Q166" i="1"/>
  <c r="Q163" i="1"/>
  <c r="Q162" i="1"/>
  <c r="Q201" i="1"/>
  <c r="Q200" i="1"/>
  <c r="Q199" i="1"/>
  <c r="Q198" i="1"/>
  <c r="Q193" i="1"/>
  <c r="Q192" i="1"/>
  <c r="Q189" i="1"/>
  <c r="Q187" i="1"/>
  <c r="Q186" i="1"/>
  <c r="Q185" i="1"/>
  <c r="Q159" i="1"/>
  <c r="Q145" i="1"/>
  <c r="Q144" i="1"/>
  <c r="Q143" i="1"/>
  <c r="Q142" i="1"/>
  <c r="Q135" i="1"/>
  <c r="Q134" i="1"/>
  <c r="Q116" i="1"/>
  <c r="Q114" i="1"/>
  <c r="Q93" i="1"/>
  <c r="Q75" i="1"/>
  <c r="Q71" i="1"/>
  <c r="Q58" i="1"/>
  <c r="Q52" i="1"/>
  <c r="Q51" i="1"/>
  <c r="Q50" i="1"/>
  <c r="Q49" i="1"/>
  <c r="Q44" i="1"/>
  <c r="Q31" i="1"/>
  <c r="Q12" i="1"/>
  <c r="Q4" i="1"/>
  <c r="Q3" i="1"/>
</calcChain>
</file>

<file path=xl/sharedStrings.xml><?xml version="1.0" encoding="utf-8"?>
<sst xmlns="http://schemas.openxmlformats.org/spreadsheetml/2006/main" count="2852" uniqueCount="913">
  <si>
    <t>Object Name</t>
  </si>
  <si>
    <t>Column Name</t>
  </si>
  <si>
    <t>Nullable</t>
  </si>
  <si>
    <t>Description</t>
  </si>
  <si>
    <t>int</t>
  </si>
  <si>
    <t>idClient</t>
  </si>
  <si>
    <t>bit</t>
  </si>
  <si>
    <t>tPlanElement</t>
  </si>
  <si>
    <t>tClient</t>
  </si>
  <si>
    <t>tCostCenter</t>
  </si>
  <si>
    <t>Reference to the data client (Mandant)</t>
  </si>
  <si>
    <t>Reference to the cost/profit center</t>
  </si>
  <si>
    <t>Reference to type of planning element (transaction, staff, booking, contingency)</t>
  </si>
  <si>
    <t>Default Value</t>
  </si>
  <si>
    <t>Flag is set once the element is first applied to the baseline plan. The main data of a plan element cannot be changed afterwards</t>
  </si>
  <si>
    <t>tPlanElementType</t>
  </si>
  <si>
    <t>Long Integer</t>
  </si>
  <si>
    <t>Datum mit Uhrzeit</t>
  </si>
  <si>
    <t>Ja/Nein</t>
  </si>
  <si>
    <t>Kurzer Text</t>
  </si>
  <si>
    <t>Yes</t>
  </si>
  <si>
    <t>Unique name of the client (Mandant)</t>
  </si>
  <si>
    <t>Type</t>
  </si>
  <si>
    <t>Master Data</t>
  </si>
  <si>
    <t>Size</t>
  </si>
  <si>
    <t>Code</t>
  </si>
  <si>
    <t>Unique cost center code</t>
  </si>
  <si>
    <t>Cost center title</t>
  </si>
  <si>
    <t>Flag indicating profit centers</t>
  </si>
  <si>
    <t>OrderNum</t>
  </si>
  <si>
    <t>Integer</t>
  </si>
  <si>
    <t>Data Type
Access</t>
  </si>
  <si>
    <t>Order number for user selection</t>
  </si>
  <si>
    <t>Title of plan element type</t>
  </si>
  <si>
    <t>Cost Centers and Profit Centers for allocation of plan and booking records</t>
  </si>
  <si>
    <t>tPlan</t>
  </si>
  <si>
    <t>Defines a plan version. One version per client is defined to be the base line plan which is currently valid for controlling and reporting. All changes for the baseline plan are tracked. and tracked for all changes. All other versions are for planning stage only. Multiple plan versions allow scenario planning.</t>
  </si>
  <si>
    <t>Unique reference identifier for grouping all related planning and accounting records.
For instance contract reference, employee reference, inventory reference.
Must be unique in conjunction with idClient. Can be empty if grouping with accounting records is not required</t>
  </si>
  <si>
    <t>Unique title of the plan (by client)</t>
  </si>
  <si>
    <t>Date from which all planning records will be applied to the baseline plan. It will overwrite baseline plan records fro that date onward</t>
  </si>
  <si>
    <t>tPlanGroup</t>
  </si>
  <si>
    <t>idPlanGroup</t>
  </si>
  <si>
    <t>Reference to a planning group or category which allows to cluster planning records in to groups such as CAPEX, Variable Cost, Fixed Cost, etc.</t>
  </si>
  <si>
    <t>Unique title of the planning group or category (by client)</t>
  </si>
  <si>
    <t>Title of the plan element</t>
  </si>
  <si>
    <t>Langer Text</t>
  </si>
  <si>
    <t>Long text for descpription of planning element</t>
  </si>
  <si>
    <t>Marks if all planning items have been applied to the baseline. The plan and all related items are locked after application to baseline</t>
  </si>
  <si>
    <t>Triggers</t>
  </si>
  <si>
    <t>No record change or deletion</t>
  </si>
  <si>
    <t>Defines an element of planning which can be used across several plans. All planning records across various plans are linked to the same element. Assigning a reference id allows to link actual booking records to a plan element. This can be used to track and control planning and accounting records for employees, contracts, inventory items, etc.</t>
  </si>
  <si>
    <t>Planning groups can be used to cluster planning data into categories such as capital cost, variable cost, fixed cost, personnel cost or the likes. Planning groups are valid across plans</t>
  </si>
  <si>
    <t>Planning element for contracts with a broad range of functionality to plan for CAPEX and OPEX</t>
  </si>
  <si>
    <t>idPlan</t>
  </si>
  <si>
    <t>idAllocationSchedule</t>
  </si>
  <si>
    <t>PaymentTerm</t>
  </si>
  <si>
    <t>idVATRule</t>
  </si>
  <si>
    <t>NumberOfUnits</t>
  </si>
  <si>
    <t>PriceDate</t>
  </si>
  <si>
    <t>idPlanElement</t>
  </si>
  <si>
    <t>Double</t>
  </si>
  <si>
    <t>Assumptions</t>
  </si>
  <si>
    <t>Revisions</t>
  </si>
  <si>
    <t>tPlanAllocationSchedule</t>
  </si>
  <si>
    <t>tVATRule</t>
  </si>
  <si>
    <t>tCurrency</t>
  </si>
  <si>
    <t>tPlanParameter</t>
  </si>
  <si>
    <t>FlagProfitCenter</t>
  </si>
  <si>
    <t>Price</t>
  </si>
  <si>
    <t>ContingencyRate</t>
  </si>
  <si>
    <t>FlagDateOffset</t>
  </si>
  <si>
    <t>Reference to plan to which the item belongs - defines when and how the item is applied to controlling records including baseline. The plan also supplied a reference date from which onward the item can be valid.</t>
  </si>
  <si>
    <t>Optional allocation of budget based on a schedule. Allocation can take form of rampup or specific repeating schedule</t>
  </si>
  <si>
    <t>Assigned VAT rate and type (i.e. reverse charge) - enables dynamic VAT change</t>
  </si>
  <si>
    <t>Optional two parameters are used for budget calculation (i.e. par1 x par2 x NumberOfUnits x Price = Budget</t>
  </si>
  <si>
    <t>Optional trigger date for defined base date and until date on a relative basis</t>
  </si>
  <si>
    <t>Defines whether base and until date are calculated on a relative basis. Offset calculation is based on valid date from plan or trigger date if defined</t>
  </si>
  <si>
    <t>Date from which planning records are applied. Offset from plan valid date or trigger date if FlagDateOffset is true, else absolute date. Actual record dates depend on allocation schedule (optional), repeat type (optional) and payment term</t>
  </si>
  <si>
    <t>see UntilDateYear</t>
  </si>
  <si>
    <t>Payment term in days. Separate planning records are created for due dates and payment dates. Payment date is due date plus Payment term</t>
  </si>
  <si>
    <t>DueDateYear</t>
  </si>
  <si>
    <t>DueDateMonth</t>
  </si>
  <si>
    <t>DueDateDay</t>
  </si>
  <si>
    <t>see DueDateYear</t>
  </si>
  <si>
    <t>Optional two parameters are used for budget calculation (i.e. par1 x par2 x NumberOfUnits x Price = Budget)</t>
  </si>
  <si>
    <t>Number of units for budget calculation (i.e. par1 x par2 x NumberOfUnits x Price = Budget)</t>
  </si>
  <si>
    <t>Price for for budget calculation (i.e. par1 x par2 x NumberOfUnits x Price = Budget). Inflation schedule will be applied (optional)</t>
  </si>
  <si>
    <t>Assigns a reference date to the price (in absolute date). Inflation is only applied from price date</t>
  </si>
  <si>
    <t>Comment field for documentation of planning assumptions. Is propagated from plan version to plan version</t>
  </si>
  <si>
    <t>Comment field for documentation of planning revisions from plan version to plan version</t>
  </si>
  <si>
    <t>Definition of a schedule to allocate budget over time. Schedules are always relative to a base date per item. Schedules can be monthly, quarterly or yearly and can have up to 13 distinct items. Each item is a percent rate applied to the planning item budget. Percentage rates can be a ramp-up in which case the final value is the basis for possible repetition depending on repeat type</t>
  </si>
  <si>
    <t>Defines a VAT rule incl. VAT rate and related accounts. Supports later implementation of VAT changes</t>
  </si>
  <si>
    <t>Defines a currency and connected exchange rate schedule</t>
  </si>
  <si>
    <t>Date</t>
  </si>
  <si>
    <t>How to model a plan scenario before application to baseline?
Copy all baseline records? How to export a view with combined baseline and plan records for analysis?</t>
  </si>
  <si>
    <t>MonthsBetweenItems</t>
  </si>
  <si>
    <t>tPlanAllocationScheduleItems</t>
  </si>
  <si>
    <t>idPlanAllocationSchedule</t>
  </si>
  <si>
    <t>ItemRate</t>
  </si>
  <si>
    <t>Title of the schedule</t>
  </si>
  <si>
    <t>Exclusive reference. All items are children of a single allocation schedule</t>
  </si>
  <si>
    <t>Sort number of the items</t>
  </si>
  <si>
    <t>PerpetualRate</t>
  </si>
  <si>
    <t>Percentage rate applied to allocate budget by item</t>
  </si>
  <si>
    <t>Percentage rate applied to allocate budget after defined schedule items</t>
  </si>
  <si>
    <t>Maybe it is better to archive plans when applied to baseline by creating exclusively dependent children?
Does this need to include master data like currency, account and VAT data? Might be overdone …</t>
  </si>
  <si>
    <t>idPlanBase</t>
  </si>
  <si>
    <t>Link a plan to a base plan as a plan variant. When a plan variant is implemented copies for all items of the base plan are created for the plan variant except where the plan variant redefines the respective plan elements</t>
  </si>
  <si>
    <t>Title of the parameter</t>
  </si>
  <si>
    <t>Possible comment for the parameter (like assumptions and source information)</t>
  </si>
  <si>
    <t>Reference to base currency of the client. All planning records are calculated based on this currency.</t>
  </si>
  <si>
    <t>Planned exchange rates</t>
  </si>
  <si>
    <t>International currency short code</t>
  </si>
  <si>
    <t>Currency long name</t>
  </si>
  <si>
    <t>Reference to the currency for the exchange rate</t>
  </si>
  <si>
    <t>RatePerClientCurrency</t>
  </si>
  <si>
    <t>Rate of currency per unit of client currency</t>
  </si>
  <si>
    <t>tPlanElementInstance</t>
  </si>
  <si>
    <t>Links type-specific implementations of a plan element to plan. Enables simple overview of all element instances that exist for a particular plan</t>
  </si>
  <si>
    <t>Open Point</t>
  </si>
  <si>
    <t>Feature</t>
  </si>
  <si>
    <t>Link a plan to a base plan to enable plan scenarios</t>
  </si>
  <si>
    <t>Use reference table to link records from baseline, base plan and variant plan to the variant plan. This enables the creation of a view for any particular plan variant without copying all baseline records. Could even include actual records up to the start of planning horizon</t>
  </si>
  <si>
    <t>Order</t>
  </si>
  <si>
    <t>Byte</t>
  </si>
  <si>
    <t>ValueNum</t>
  </si>
  <si>
    <t>ValueDate</t>
  </si>
  <si>
    <t>ValueText</t>
  </si>
  <si>
    <t>Value for BudgetFactor, Repeat interval for InflationRate in months, N/A for TriggerDate</t>
  </si>
  <si>
    <t>Value for TriggerDate</t>
  </si>
  <si>
    <t>Currently not used</t>
  </si>
  <si>
    <t>Unit of the parameter for ValueNum</t>
  </si>
  <si>
    <t>Type Definition</t>
  </si>
  <si>
    <t>TypeStatus</t>
  </si>
  <si>
    <t>Specifies status of a plan. When an updated plan is reimplemented, the status returns to "PlanImplemented". When the plan is applied to baseline, the status moves to PlanApplied and the FlagBaseline is set to lock the plan</t>
  </si>
  <si>
    <t>idParPrice1</t>
  </si>
  <si>
    <t>idParPrice2</t>
  </si>
  <si>
    <t>Defines a type of booking repetition</t>
  </si>
  <si>
    <t>TypeRepeat</t>
  </si>
  <si>
    <t>Defines a parameter value for various applications depending on type. PriceFactor is used for item price calculation, TriggerDate is used to trigger the start date of planning records for an item, InflationRate is used to calculate price increases</t>
  </si>
  <si>
    <t>Links plan element to specific item in a plan</t>
  </si>
  <si>
    <t>Integrity</t>
  </si>
  <si>
    <t>DeleteWithParent</t>
  </si>
  <si>
    <t>idPlanInstance</t>
  </si>
  <si>
    <t>Indirect reference to plan and plan element to which the item belongs - defines when and how the item is applied to controlling records including baseline. The plan also supplied a reference date from which onward the item can be valid.
The use of the reference table object enables polymorphism: In this way records in the table PlanElement are linked to Plan Item Instances of different types per Plan</t>
  </si>
  <si>
    <t>tAccount</t>
  </si>
  <si>
    <t>Application</t>
  </si>
  <si>
    <t>Client</t>
  </si>
  <si>
    <t>Deletion of a plan needs to trigger the programmatic deletion of related plan variants</t>
  </si>
  <si>
    <t>Defines the account structure for a particular client</t>
  </si>
  <si>
    <t>Clients / Mandanten for management of separate data universes
Template clients can be used to specify master data templates</t>
  </si>
  <si>
    <t>FlagTemplate</t>
  </si>
  <si>
    <t>Marks clients that are used as templates for client creation or update</t>
  </si>
  <si>
    <t>Issue</t>
  </si>
  <si>
    <t>Deletion date is set when client record is created</t>
  </si>
  <si>
    <t>Create/update client master data based on template client (accounts, account functions, VAT rules)</t>
  </si>
  <si>
    <t>tBookRecord</t>
  </si>
  <si>
    <t>tBookTransaction</t>
  </si>
  <si>
    <t>tDepreciationRule</t>
  </si>
  <si>
    <t>Assigns accounts to specific planning item functions (eg. Debitor, creditor accounts, selection of accounts for contract items, advance booking, etc.)</t>
  </si>
  <si>
    <t>Booking record with all relevant accounting information. Booking records can be of type actual, baseline or plan. Baseline specifies the baseline plan for reporting versus actual</t>
  </si>
  <si>
    <t>A booking record includes two transactions one for debit and one for credit. This is separated from the record object for better reporting functionality</t>
  </si>
  <si>
    <t>Specifies reference codes for use in planning and accounting to cluster transactions by employee, contract, inventory item, project, etc.</t>
  </si>
  <si>
    <t>tPlanTransaction</t>
  </si>
  <si>
    <t>Links actual, baseline and plan transactions to a particular plan or plan variant to integrate into a single view and forecast</t>
  </si>
  <si>
    <t>tAccountGroup</t>
  </si>
  <si>
    <t>Enables grouping of accounts for reporting purposes</t>
  </si>
  <si>
    <t>idAccountGroup</t>
  </si>
  <si>
    <t>idAccountReporting</t>
  </si>
  <si>
    <t>Format</t>
  </si>
  <si>
    <t>00000</t>
  </si>
  <si>
    <t>TypeAccount</t>
  </si>
  <si>
    <t>FlagPlan</t>
  </si>
  <si>
    <t>Marks accounts for planning. Other accounts are not shown for selection</t>
  </si>
  <si>
    <t>Reference to client</t>
  </si>
  <si>
    <t>Reference to account group. Account groups are used to cluster and aggregate accounts for reporting purposes</t>
  </si>
  <si>
    <t>Allows to map an account to another account for reporting. Mainly used to map individual debitor and creditor accounts to main accounts</t>
  </si>
  <si>
    <t>Numeric code of the account</t>
  </si>
  <si>
    <t>Title in local language</t>
  </si>
  <si>
    <t>Title in english</t>
  </si>
  <si>
    <t>Specifies planning functions for mapping accounts to specific functions</t>
  </si>
  <si>
    <t>tPlanAccountFunction</t>
  </si>
  <si>
    <t>Specifies assigned account for client</t>
  </si>
  <si>
    <t>NumberOfPeriods</t>
  </si>
  <si>
    <t>PeriodInMonths</t>
  </si>
  <si>
    <t>idAccountDepreciation</t>
  </si>
  <si>
    <t>0 - Linear</t>
  </si>
  <si>
    <t>For later implementation of alternative depreciation schemes. Currently only linear depreciation used</t>
  </si>
  <si>
    <t>idDepreciationRule</t>
  </si>
  <si>
    <t>DepreciationDelay</t>
  </si>
  <si>
    <t>idAccountMain</t>
  </si>
  <si>
    <t>Final booking account for item (before depreciation)</t>
  </si>
  <si>
    <t>idDepreciationTrigger</t>
  </si>
  <si>
    <t>idAccountDebit</t>
  </si>
  <si>
    <t>idAccountCredit</t>
  </si>
  <si>
    <t>idBookingRun</t>
  </si>
  <si>
    <t>BookingSequenceNum</t>
  </si>
  <si>
    <t>idPlanElementInstance</t>
  </si>
  <si>
    <t>Amount</t>
  </si>
  <si>
    <t>StartOfBusinessYear</t>
  </si>
  <si>
    <t>Start of business year in calendar month - defaults to 1 (Jan 1st)</t>
  </si>
  <si>
    <t>tBookingRun</t>
  </si>
  <si>
    <t>Reference for booking run in main accounting system</t>
  </si>
  <si>
    <t>Differentiates between actual booking records, booking records for the baseline plan and booking records for a plan or plan variant. All records are stored in the same table for analysis</t>
  </si>
  <si>
    <t>Debit Account for reference</t>
  </si>
  <si>
    <t>Credit Account for reference</t>
  </si>
  <si>
    <t>Cost center for reference</t>
  </si>
  <si>
    <t>Booking run for reference</t>
  </si>
  <si>
    <t>Sequence number for booking run in main accounting system for cross reference</t>
  </si>
  <si>
    <t>Link to plan, plan element and plan item</t>
  </si>
  <si>
    <t>Booking text</t>
  </si>
  <si>
    <t>Booking date</t>
  </si>
  <si>
    <t>Booking amount</t>
  </si>
  <si>
    <t>Reference for booking document</t>
  </si>
  <si>
    <t>Free comment for booking record. Can be changed for controlling purpose as needed</t>
  </si>
  <si>
    <t>idBookingRecord</t>
  </si>
  <si>
    <t>AmountDebit</t>
  </si>
  <si>
    <t>AmountCredit</t>
  </si>
  <si>
    <t>Link to booking record</t>
  </si>
  <si>
    <t>Account for the transaction</t>
  </si>
  <si>
    <t>Debit amount</t>
  </si>
  <si>
    <t>Credit amount</t>
  </si>
  <si>
    <t>idBookTransaction</t>
  </si>
  <si>
    <t>Link to transaction and indirectly booking record.</t>
  </si>
  <si>
    <t>Link to plan. Plan is linked to all transactions that need to be reported under this plan including actuals, baseline and planning records</t>
  </si>
  <si>
    <t>Booking run identifier from main accounting system</t>
  </si>
  <si>
    <t>PeriodYear</t>
  </si>
  <si>
    <t>PeriodMonth</t>
  </si>
  <si>
    <t>SerialNum</t>
  </si>
  <si>
    <t>Accounting period calendar year</t>
  </si>
  <si>
    <t>Accounting period calendar month</t>
  </si>
  <si>
    <t>Serial number of booking run within period</t>
  </si>
  <si>
    <t>Title of booking run (eg. "Year end bookings")</t>
  </si>
  <si>
    <t>smallint</t>
  </si>
  <si>
    <t>float</t>
  </si>
  <si>
    <t>Data Type SQL Server</t>
  </si>
  <si>
    <t>CREATE</t>
  </si>
  <si>
    <t>Action</t>
  </si>
  <si>
    <t>max</t>
  </si>
  <si>
    <t>nvarchar</t>
  </si>
  <si>
    <t>idAccountVATInput</t>
  </si>
  <si>
    <t>idAccountVATOutput</t>
  </si>
  <si>
    <t>RateCurrent</t>
  </si>
  <si>
    <t>DateRateChange</t>
  </si>
  <si>
    <t>RateFuture</t>
  </si>
  <si>
    <t>Index</t>
  </si>
  <si>
    <t>tReferenceGroup</t>
  </si>
  <si>
    <t>BaseCode</t>
  </si>
  <si>
    <t>NextNum</t>
  </si>
  <si>
    <t>FlagAutoGen</t>
  </si>
  <si>
    <t>AutoDigits</t>
  </si>
  <si>
    <t>Master data by client</t>
  </si>
  <si>
    <t>Booking account for inbound VAT</t>
  </si>
  <si>
    <t>Booking account for outbound VAT</t>
  </si>
  <si>
    <t>FlagReverseCharge</t>
  </si>
  <si>
    <t>Current VAT rate</t>
  </si>
  <si>
    <t>Optional date of VAT change</t>
  </si>
  <si>
    <t>VAT rate from date of VAT change</t>
  </si>
  <si>
    <t>Flag indicating that due to reverse charge inbound and outbound tax are reported at transaction time and not added to the net payment</t>
  </si>
  <si>
    <t>Short code for accounting system</t>
  </si>
  <si>
    <t>Optional short title</t>
  </si>
  <si>
    <t>Reference codes can be auto-generated by type and basecode.</t>
  </si>
  <si>
    <t>Short descriptive title</t>
  </si>
  <si>
    <t>Reference codes can be differentiated by base code. For instance different departments</t>
  </si>
  <si>
    <t>The system automatically records the last assigned reference and increments this for the next assignment</t>
  </si>
  <si>
    <t>Alternatively the user can manually assign reference codes</t>
  </si>
  <si>
    <t>Defines the number of digits for auto generation of a current number</t>
  </si>
  <si>
    <t>idReferenceGroup</t>
  </si>
  <si>
    <t>User data by client</t>
  </si>
  <si>
    <t>Reference codes must be unique by client and reference group</t>
  </si>
  <si>
    <t>Reference code</t>
  </si>
  <si>
    <t>Free comment for the reference item</t>
  </si>
  <si>
    <t>Defines groups of reference codes per client for auto generation</t>
  </si>
  <si>
    <t>Bei Löschung eines Planes müssen bereits erstellte BookRecords ggf. manuell gelöscht werden wegen Polymorphie</t>
  </si>
  <si>
    <t>Unique</t>
  </si>
  <si>
    <t>FlagOutdated</t>
  </si>
  <si>
    <t>Indicates that the record has been replaced with a updated version</t>
  </si>
  <si>
    <t>DateOutdated</t>
  </si>
  <si>
    <t>Specifies when the record was outdated in order to permit auditing older baseline versions</t>
  </si>
  <si>
    <t>PlanTitle</t>
  </si>
  <si>
    <t>DateValidFrom</t>
  </si>
  <si>
    <t>DateValidTo</t>
  </si>
  <si>
    <t>Date until which planning records are created</t>
  </si>
  <si>
    <t>AccountCode</t>
  </si>
  <si>
    <t>BookingRunCode</t>
  </si>
  <si>
    <t>CostCenterCode</t>
  </si>
  <si>
    <t>CurrencyCode</t>
  </si>
  <si>
    <t>VATRuleCode</t>
  </si>
  <si>
    <t>ReferenceCode</t>
  </si>
  <si>
    <t>BookRecordComment</t>
  </si>
  <si>
    <t>PlanParameterComment</t>
  </si>
  <si>
    <t>BookingDate</t>
  </si>
  <si>
    <t>PlanElementDescription</t>
  </si>
  <si>
    <t>PlanFlagBaseline</t>
  </si>
  <si>
    <t>ElementFlagBaseline</t>
  </si>
  <si>
    <t>idAccountPlanAccountFunction</t>
  </si>
  <si>
    <t>idCostCenterBookRecord</t>
  </si>
  <si>
    <t>idCostCenterPlanElement</t>
  </si>
  <si>
    <t>idCurrencyClient</t>
  </si>
  <si>
    <t>idCurrencyExchangeRate</t>
  </si>
  <si>
    <t>ReferenceIDBookRecord</t>
  </si>
  <si>
    <t>ReferenceIDPlanElement</t>
  </si>
  <si>
    <t>TitleBookRecord</t>
  </si>
  <si>
    <t>TitleClient</t>
  </si>
  <si>
    <t>TitleCostCenter</t>
  </si>
  <si>
    <t>TitleCurrency</t>
  </si>
  <si>
    <t>TitleDepreciationRule</t>
  </si>
  <si>
    <t>TitlePlan</t>
  </si>
  <si>
    <t>TitleAllocationSchedule</t>
  </si>
  <si>
    <t>TitlePlanElement</t>
  </si>
  <si>
    <t>TitlePlanGroup</t>
  </si>
  <si>
    <t>TitlePlanParameter</t>
  </si>
  <si>
    <t>TitleVATRule</t>
  </si>
  <si>
    <t>TitleReferenceGroup</t>
  </si>
  <si>
    <t>TitleEnglishAccount</t>
  </si>
  <si>
    <t>TitleEnglishAccountGroup</t>
  </si>
  <si>
    <t>TitleLocalAccount</t>
  </si>
  <si>
    <t>TitleLocalAccountGroup</t>
  </si>
  <si>
    <t>TypeBookRecord</t>
  </si>
  <si>
    <t>TypeDepreciationRule</t>
  </si>
  <si>
    <t>TypePlanElement</t>
  </si>
  <si>
    <t>TypePlanParameter</t>
  </si>
  <si>
    <t>TypeReferenceGroup</t>
  </si>
  <si>
    <t>UnitParameter</t>
  </si>
  <si>
    <t>Status</t>
  </si>
  <si>
    <t>Depends on</t>
  </si>
  <si>
    <t>Cascade Sequence</t>
  </si>
  <si>
    <t>Develop</t>
  </si>
  <si>
    <t>Automate standard view creation per table</t>
  </si>
  <si>
    <t>Automate entity model creation per view</t>
  </si>
  <si>
    <t>Create COM interfaces for early binding and intellisense use in Office</t>
  </si>
  <si>
    <t>Set up dynamic connection string determination for business objects</t>
  </si>
  <si>
    <t>AutoView</t>
  </si>
  <si>
    <t>Currency</t>
  </si>
  <si>
    <t>PlanAccountFunction</t>
  </si>
  <si>
    <t>Account</t>
  </si>
  <si>
    <t>AccountGroup</t>
  </si>
  <si>
    <t>CostCenter</t>
  </si>
  <si>
    <t>DepreciationRule</t>
  </si>
  <si>
    <t>VATRule</t>
  </si>
  <si>
    <t>ReferenceGroup</t>
  </si>
  <si>
    <t>BookingRun</t>
  </si>
  <si>
    <t>Plan</t>
  </si>
  <si>
    <t>PlanElement</t>
  </si>
  <si>
    <t>PlanGroup</t>
  </si>
  <si>
    <t>PlanAllocationSchedule</t>
  </si>
  <si>
    <t>PlanElementInstance</t>
  </si>
  <si>
    <t>PlanParameter</t>
  </si>
  <si>
    <t>PlanTransaction</t>
  </si>
  <si>
    <t>BookRecord</t>
  </si>
  <si>
    <t>BookTransaction</t>
  </si>
  <si>
    <t>TableName</t>
  </si>
  <si>
    <t>ViewName</t>
  </si>
  <si>
    <t>Entity Name</t>
  </si>
  <si>
    <t>ViewAlias</t>
  </si>
  <si>
    <t>Top Row Limit</t>
  </si>
  <si>
    <t>Folder for SQL Scripts</t>
  </si>
  <si>
    <t>ViewIgnoreRef</t>
  </si>
  <si>
    <t>ViewRefPostFix</t>
  </si>
  <si>
    <t>BasePlan</t>
  </si>
  <si>
    <t>Main</t>
  </si>
  <si>
    <t>Price1</t>
  </si>
  <si>
    <t>Price2</t>
  </si>
  <si>
    <t>Parameters for entity model creation</t>
  </si>
  <si>
    <t>DB Context Name</t>
  </si>
  <si>
    <t>FolderScripts</t>
  </si>
  <si>
    <t>FolderEntityModel</t>
  </si>
  <si>
    <t>DBContext</t>
  </si>
  <si>
    <t>VerumDBContext</t>
  </si>
  <si>
    <t>Folders</t>
  </si>
  <si>
    <t>DB Context Base</t>
  </si>
  <si>
    <t>ContextBase</t>
  </si>
  <si>
    <t>Range Name</t>
  </si>
  <si>
    <t>Namespace</t>
  </si>
  <si>
    <t>VerumBusinessObjects</t>
  </si>
  <si>
    <t>VATIn</t>
  </si>
  <si>
    <t>VATOut</t>
  </si>
  <si>
    <t>DeprTrigger</t>
  </si>
  <si>
    <t>BookTrigger</t>
  </si>
  <si>
    <t>Debit</t>
  </si>
  <si>
    <t>Credit</t>
  </si>
  <si>
    <t>Report</t>
  </si>
  <si>
    <t/>
  </si>
  <si>
    <t>Folder for data model</t>
  </si>
  <si>
    <t>Folder for business model</t>
  </si>
  <si>
    <t>FolderBusinessModel</t>
  </si>
  <si>
    <t>BaseClasses: Load führt zu Fehler, wenn Id nicht existiert. Prüfen FirstOrDefault? Oder Fehlerbehandlung</t>
  </si>
  <si>
    <t>Nutzung von enum types in data model?</t>
  </si>
  <si>
    <t>datetime2</t>
  </si>
  <si>
    <t>done</t>
  </si>
  <si>
    <t>Auto create table entities in addition to view entities. Use view entities in read-only (get) and table entities in get and set</t>
  </si>
  <si>
    <t>Default value for DateCreated does not work with DateTime2</t>
  </si>
  <si>
    <t>SQL Field Types</t>
  </si>
  <si>
    <t>datetime</t>
  </si>
  <si>
    <t>date</t>
  </si>
  <si>
    <t>ForcedIntegrity</t>
  </si>
  <si>
    <t>Enumlisten als Tabelle in DB realisieren und Code autogenerieren</t>
  </si>
  <si>
    <t>Reference</t>
  </si>
  <si>
    <t>ImplementPlan</t>
  </si>
  <si>
    <t>Check for existing booking record and update / or delete existing booking records</t>
  </si>
  <si>
    <t>Reference Entity</t>
  </si>
  <si>
    <t>Reference Table</t>
  </si>
  <si>
    <t>Reference Field</t>
  </si>
  <si>
    <t>Child relationships code generation implementieren</t>
  </si>
  <si>
    <t>Zustandsmodell in Business Objects für Datenbankzugriff optimieren (Neu, Geändert, Gelösct, o.ä.) =&gt; CommitChanges</t>
  </si>
  <si>
    <t>Shared DBContext zum effizienteren DB Zugriff</t>
  </si>
  <si>
    <t>PlanContract</t>
  </si>
  <si>
    <t>idDepreciationRule  implementieren</t>
  </si>
  <si>
    <t>idVATRule  implementieren</t>
  </si>
  <si>
    <t>AllocationSchedule UntilDate implementieren</t>
  </si>
  <si>
    <t>TypeRepeat UntilDate implementieren</t>
  </si>
  <si>
    <t>idCurrencyContract  implementieren</t>
  </si>
  <si>
    <t>ContractFlagBaseline  implementieren</t>
  </si>
  <si>
    <t>PaymentTerm implementieren</t>
  </si>
  <si>
    <t>BudgetBase fixed/calculated implementieren</t>
  </si>
  <si>
    <t>idParInflation  mit Price Date implementieren</t>
  </si>
  <si>
    <t>BudgetContingency implementieren</t>
  </si>
  <si>
    <t>Remove field idPlanItem from PlanItemInstance - no longer used</t>
  </si>
  <si>
    <t>Due date calculation mit Offset, idParTriggerDate  implementieren, trigger date noch testen</t>
  </si>
  <si>
    <t>Rename and Split into Purchase and Sale?</t>
  </si>
  <si>
    <t>PlanAllocationScheduleItems</t>
  </si>
  <si>
    <t>Rates per period for plan allocation schedules</t>
  </si>
  <si>
    <t>Main account and cash account selection implementieren</t>
  </si>
  <si>
    <t>Links plan element to to a specific plan</t>
  </si>
  <si>
    <t>FlagScheduleShared</t>
  </si>
  <si>
    <t>Indicates whether a schedule is visible for sharing in several different items</t>
  </si>
  <si>
    <t>tReferenceCode</t>
  </si>
  <si>
    <t>RefCodeComment</t>
  </si>
  <si>
    <t>RefCode</t>
  </si>
  <si>
    <t>TitleRefCode</t>
  </si>
  <si>
    <t>Type Name</t>
  </si>
  <si>
    <t>Title</t>
  </si>
  <si>
    <t>NoRepeat</t>
  </si>
  <si>
    <t>Schedule</t>
  </si>
  <si>
    <t>Monthly</t>
  </si>
  <si>
    <t>Quarterly</t>
  </si>
  <si>
    <t>Annually</t>
  </si>
  <si>
    <t>BookingRule</t>
  </si>
  <si>
    <t>Contract</t>
  </si>
  <si>
    <t>C# Code</t>
  </si>
  <si>
    <t>Baseline</t>
  </si>
  <si>
    <t>Actual</t>
  </si>
  <si>
    <t>Change BusinessObject interface to base class or abstract class</t>
  </si>
  <si>
    <t>Date until which repeated records are applied. Either offset or absolute (see DueDateYear). Will only be used if earlier than ValidToDate of Plan.</t>
  </si>
  <si>
    <t>PriceFactor</t>
  </si>
  <si>
    <t>TriggerDate</t>
  </si>
  <si>
    <t>Price Parameter  implementieren</t>
  </si>
  <si>
    <t>Bei Plan Implementation nur einmal Commit aufrufen zur Beschleunigung der DB Transaktionen oder async?</t>
  </si>
  <si>
    <t>TitleElementType</t>
  </si>
  <si>
    <t>CHANGED</t>
  </si>
  <si>
    <t>PlanInflationRule</t>
  </si>
  <si>
    <t>Defines an inflation rule per plan which can be used in planning items</t>
  </si>
  <si>
    <t>Type of parameter (currently price factor, trigger date)</t>
  </si>
  <si>
    <t>tPlanInflationRule</t>
  </si>
  <si>
    <t>TitleInflationRule</t>
  </si>
  <si>
    <t>Title of the inflation rule</t>
  </si>
  <si>
    <t>InflationInterval</t>
  </si>
  <si>
    <t>Number of months between inflation price increases (1, 3 or 12)</t>
  </si>
  <si>
    <t>InflationRateAnnual</t>
  </si>
  <si>
    <t>Annual inflation rate</t>
  </si>
  <si>
    <t>idInflationRule</t>
  </si>
  <si>
    <t>tClient
tAccountGroup</t>
  </si>
  <si>
    <t>tPlan
tPlanElement</t>
  </si>
  <si>
    <t>Assigns an inflation rate and rule, which can be shared across plan items. Inflation schedule is calculated relative to calculated base date of the transaction (based on trigger date, plan valid date or absolute due date) - except in case a PriceDate is defined. When a price date is defined, the inflation is applied relative to the price date.
Inflation is always applied as per January each year and then for every interval according to the inflation rule (typically monthly, quarterly or annually). When a PriceDate is specified the monthly inflation rate is applied from the PriceDate to the nearest inflation interval before the base date of the transaction. Else inflation is applied from the start of the year of the base date, which is only relevant when the inflation interval is less than annually.</t>
  </si>
  <si>
    <t>InflationRuleComment</t>
  </si>
  <si>
    <t>Possible comment for the inflation rule (like assumptions and source information)</t>
  </si>
  <si>
    <t>UPDATE</t>
  </si>
  <si>
    <t>TypeCodeDef</t>
  </si>
  <si>
    <t>TypeGroupDef</t>
  </si>
  <si>
    <t>NEW</t>
  </si>
  <si>
    <t>tTypeCodeDef</t>
  </si>
  <si>
    <t>tTypeGroupDef</t>
  </si>
  <si>
    <t>Reference to type group</t>
  </si>
  <si>
    <t>TypeCode</t>
  </si>
  <si>
    <t>TypeGroupID</t>
  </si>
  <si>
    <t>idTypeGroupDef</t>
  </si>
  <si>
    <t>TypeID</t>
  </si>
  <si>
    <t>Technical identifier of the type - must not be changed. Used in code</t>
  </si>
  <si>
    <t>Technical identifier of the type instance - must not be changed. Used in code</t>
  </si>
  <si>
    <t>Technical code for the type - must not be changed. Used in code</t>
  </si>
  <si>
    <t>Specifies the functionality of the account</t>
  </si>
  <si>
    <t>TypeAccountFunction</t>
  </si>
  <si>
    <t>Cash</t>
  </si>
  <si>
    <t>CashDefault</t>
  </si>
  <si>
    <t>PayablesDefault</t>
  </si>
  <si>
    <t>Payables</t>
  </si>
  <si>
    <t>Derive transaction records from account</t>
  </si>
  <si>
    <t>uniqueidentifier</t>
  </si>
  <si>
    <t>Replikations-ID</t>
  </si>
  <si>
    <t>idAccountVATBalance</t>
  </si>
  <si>
    <t>AccountVATBalance</t>
  </si>
  <si>
    <t>iAccountVATBalance</t>
  </si>
  <si>
    <t>VATBalance</t>
  </si>
  <si>
    <t>SettlementTerm</t>
  </si>
  <si>
    <t>Implement plan transaction table</t>
  </si>
  <si>
    <t>VerumContext</t>
  </si>
  <si>
    <t>Implement shared context via static container class</t>
  </si>
  <si>
    <t>Implement transaction concept for late persistence</t>
  </si>
  <si>
    <t>Change book transaction creation for book record to late persistence. Preset new book record guid to use for book transaction records before book record is stored to db.</t>
  </si>
  <si>
    <t>idParContingencyRate</t>
  </si>
  <si>
    <t>Parameter % rate used to calculate a contract contingency which is used to calculate the final budget for records</t>
  </si>
  <si>
    <t>DataDictionary</t>
  </si>
  <si>
    <t>Auto-generate business type class</t>
  </si>
  <si>
    <t>Framework</t>
  </si>
  <si>
    <t>Enable custom code for fields via partial &lt;fieldname&gt;Custom method. Use this to run plausis - e.g. ensure that parameter types are correct when storing</t>
  </si>
  <si>
    <t>idAccountActivation</t>
  </si>
  <si>
    <t>Account reference for activation of the item</t>
  </si>
  <si>
    <t>Linear</t>
  </si>
  <si>
    <t>AccountActivation</t>
  </si>
  <si>
    <t>AccountDepreciation</t>
  </si>
  <si>
    <t>A depreciation rule defines a pair of accounts for activation and depreciation in combination with the number of periods and length of periods in month for depreciation.</t>
  </si>
  <si>
    <t>CurrencyExchangeRate</t>
  </si>
  <si>
    <t>tCurrencyExchangeRate</t>
  </si>
  <si>
    <t>Optional reference to plan to which the item belongs - defines when and how the item is applied to controlling records including baseline. The plan also supplied a reference date from which onward the item can be valid.</t>
  </si>
  <si>
    <t>Mandatory reference to client. Normally exchange rates are defined per client. There is an option to specify planned exchange rates per plan</t>
  </si>
  <si>
    <t>DateExchangeRate</t>
  </si>
  <si>
    <t>Reference date of the exchange rate. The system will always use the latest rate available for a specific transaction date</t>
  </si>
  <si>
    <t>RateDate</t>
  </si>
  <si>
    <t>Reference to currency, which enables a currency schedule. Centrally maintained. Defaults to Client currency. Refers to client currency if not defined.</t>
  </si>
  <si>
    <t>idCurrency</t>
  </si>
  <si>
    <t>FlagBaseline</t>
  </si>
  <si>
    <t>UntilDateYear</t>
  </si>
  <si>
    <t>UntilDateMonth</t>
  </si>
  <si>
    <t>UntilDateDay</t>
  </si>
  <si>
    <t>BudgetFixed</t>
  </si>
  <si>
    <t>idParTriggerDueDate</t>
  </si>
  <si>
    <t>How to raise error codes in COM Interop</t>
  </si>
  <si>
    <t>User</t>
  </si>
  <si>
    <t>Table of users including login details and assigned client</t>
  </si>
  <si>
    <t>tUser</t>
  </si>
  <si>
    <t>UserName</t>
  </si>
  <si>
    <t>UserLogin</t>
  </si>
  <si>
    <t>UserPasswordHash</t>
  </si>
  <si>
    <t>Full name of the user</t>
  </si>
  <si>
    <t>Login name</t>
  </si>
  <si>
    <t>Login password as hash key</t>
  </si>
  <si>
    <t>Reference for default client</t>
  </si>
  <si>
    <t>idClientDefault</t>
  </si>
  <si>
    <t>ClientDefault</t>
  </si>
  <si>
    <t>Session</t>
  </si>
  <si>
    <t>Contains currently valid session keys. Session keys expire after a defined time. (Standard 12 hours)</t>
  </si>
  <si>
    <t>tUser
tClient</t>
  </si>
  <si>
    <t>tSession</t>
  </si>
  <si>
    <t>idUser</t>
  </si>
  <si>
    <t>Reference to user</t>
  </si>
  <si>
    <t>SessionUser</t>
  </si>
  <si>
    <t>SessionClient</t>
  </si>
  <si>
    <t>TypeUser</t>
  </si>
  <si>
    <t>Standard</t>
  </si>
  <si>
    <t>Admin</t>
  </si>
  <si>
    <t>NoUser</t>
  </si>
  <si>
    <t>Create plausis that make sure that business objects which are not connected to the current client cannot be loaded or created</t>
  </si>
  <si>
    <t>Anzahlungen implmentieren und bei Abschreibung auch vor Start der Abschreibung aktivieren</t>
  </si>
  <si>
    <t>idParTriggerAdvance</t>
  </si>
  <si>
    <t>AdvanceTrigger</t>
  </si>
  <si>
    <t>Optional specification of an account for booking of transaction amounts to advance or unfinished goods</t>
  </si>
  <si>
    <t>idAccountAdvance</t>
  </si>
  <si>
    <t>AccountAdvance</t>
  </si>
  <si>
    <t>Number of periods of the schedule until which the transactions will be booked to advance account. At the specified period all prior and the specified period amount will be booked from the advance account to the main account. The specification of a AdvanceTrigger in the PlanElement will override this setting</t>
  </si>
  <si>
    <t>AdvanceDelayPeriods</t>
  </si>
  <si>
    <t>AdvanceReceived</t>
  </si>
  <si>
    <t>AdvanceReceivedDefault</t>
  </si>
  <si>
    <t>AdvanceDelay</t>
  </si>
  <si>
    <t>Optional trigger date to convert advance payments/unfinished service activation bookings into main account booking. The specification of a trigger date takes precendence over the specification of an advance conversion period in an allocation schedule or via the field AdvanceDelay.</t>
  </si>
  <si>
    <t>Optional number of months versus base date until which prior payments will be booked via advance account. The specification of an advance delay &gt; 0 takes precendence over the specification of an advance conversion period in an allocation schedule.</t>
  </si>
  <si>
    <t>Security</t>
  </si>
  <si>
    <t>Restrict access to DB based to admin account and find safe way to provide framework with connection credentials. Implement dynamic specification of db connection</t>
  </si>
  <si>
    <t>Set date created upon BO.New</t>
  </si>
  <si>
    <t>No longer used. Fixed budget when NumberOfUnits = 0</t>
  </si>
  <si>
    <t>Description of the plan group and ist purpose</t>
  </si>
  <si>
    <t>TitleEnglishPlanGroup</t>
  </si>
  <si>
    <t>TitleEnglishCostCenter</t>
  </si>
  <si>
    <t>DescriptionCostCenter</t>
  </si>
  <si>
    <t>TypeReferenceCode</t>
  </si>
  <si>
    <t>I</t>
  </si>
  <si>
    <t>E</t>
  </si>
  <si>
    <t>C</t>
  </si>
  <si>
    <t>P</t>
  </si>
  <si>
    <t>Inventory</t>
  </si>
  <si>
    <t>Project</t>
  </si>
  <si>
    <t>Employee</t>
  </si>
  <si>
    <t>DescriptionPlanGroup</t>
  </si>
  <si>
    <t>Booking account for settlement of VAT</t>
  </si>
  <si>
    <t>Purchase</t>
  </si>
  <si>
    <t>Ensure integrity of book records linked to plan element instance. Solve multiple path ON CASCADE DELETE problem through delete triggers (INSTEAD OF DELETE)?
https://www.mssqltips.com/sqlservertip/2733/solving-the-sql-server-multiple-cascade-path-issue-with-a-trigger/</t>
  </si>
  <si>
    <t>Liabilities</t>
  </si>
  <si>
    <t>Assets</t>
  </si>
  <si>
    <t>Semiannually</t>
  </si>
  <si>
    <t>FlagAuto</t>
  </si>
  <si>
    <t>Indicates whether a schedule is defined from defined periods for simplification</t>
  </si>
  <si>
    <t>Period1</t>
  </si>
  <si>
    <t>Rate1</t>
  </si>
  <si>
    <t>Period2</t>
  </si>
  <si>
    <t>Rate2</t>
  </si>
  <si>
    <t>Period3</t>
  </si>
  <si>
    <t>Rate3</t>
  </si>
  <si>
    <t>Number of months between application of successive item rates (1 - monthly, 3 - quarterly, 6 - semi-annually 12 - annually)</t>
  </si>
  <si>
    <t>TypeRegularPeriods</t>
  </si>
  <si>
    <t>Period of first rate</t>
  </si>
  <si>
    <t>First rate</t>
  </si>
  <si>
    <t>Period of second rate</t>
  </si>
  <si>
    <t>Second rate</t>
  </si>
  <si>
    <t>Period of third rate</t>
  </si>
  <si>
    <t>Third rate</t>
  </si>
  <si>
    <t>Mark plans as obsolete for filtering</t>
  </si>
  <si>
    <t>Excel Import for TypeCodeDef</t>
  </si>
  <si>
    <t>Excel Import for TypeGroupDef</t>
  </si>
  <si>
    <t>Excel Import for PlanAccountFunction</t>
  </si>
  <si>
    <t>Excel Import for ReferenceGroup</t>
  </si>
  <si>
    <t>Excel Import for BookingRun</t>
  </si>
  <si>
    <t>Excel Import for Plan</t>
  </si>
  <si>
    <t>Excel Import for CurrencyExchangeRate</t>
  </si>
  <si>
    <t>Excel Import</t>
  </si>
  <si>
    <t>Copy plan. What to do with dependent items when copying a plan?</t>
  </si>
  <si>
    <t>Convert plan to baseline. Lock all dependent items of a plan when applied to baseline? How about master data (VAT Rules, accounts, etc)</t>
  </si>
  <si>
    <t>PlanPurchase</t>
  </si>
  <si>
    <t>Add scale schedule functionality to enable annual scaling of revenue and cost elements</t>
  </si>
  <si>
    <t>VerumInstance</t>
  </si>
  <si>
    <t>Supply connection details from client</t>
  </si>
  <si>
    <t>Revisit error handling in PlanImplement on dll level to provide client with adequate user information</t>
  </si>
  <si>
    <t>Data Model</t>
  </si>
  <si>
    <t>Forecast</t>
  </si>
  <si>
    <t>How to determine starting values for all accounts in a plan/plan variant?</t>
  </si>
  <si>
    <t>Implement deletion functionality with cascaded deletion. Consider to use triggers in DB. See onenote</t>
  </si>
  <si>
    <t>PlanSale</t>
  </si>
  <si>
    <t>Design and implement PlanElementSale based on PlanElementPurchase</t>
  </si>
  <si>
    <t>PlanBooking</t>
  </si>
  <si>
    <t>Design and implement PlanElementBooking based on PlanElementPurchase</t>
  </si>
  <si>
    <t>PlanPersonnel</t>
  </si>
  <si>
    <t>Design and implement PlanElementPersonnel</t>
  </si>
  <si>
    <t>PlanLoan</t>
  </si>
  <si>
    <t>Design and implement PlanElementLoan</t>
  </si>
  <si>
    <t>PlanElementBooking</t>
  </si>
  <si>
    <t>Planning element for simple planned accounting transactions with schedule option.</t>
  </si>
  <si>
    <t>tPlanElementBooking</t>
  </si>
  <si>
    <t>GetVia combination of plan group and title =&gt; unique index</t>
  </si>
  <si>
    <t>Multiple records per element based on unique combination of debit and credit account</t>
  </si>
  <si>
    <t>Sale</t>
  </si>
  <si>
    <t>Loan</t>
  </si>
  <si>
    <t>tPlanElementContract</t>
  </si>
  <si>
    <t>Indirect reference to plan and plan element to which the item belongs - defines when and how the item is applied to controlling records including baseline. The plan also supplied a reference date from which onward the item can be valid.
The use of the reference table object enables polymorphism: In this way records in the table PlanElement are linked to Plan Item Instances of different types per Plan
The PlanElement type defines, whether the contract is interpreted as purchase or sale</t>
  </si>
  <si>
    <t>Enables the depreciation of the contract value (only for type purchase)</t>
  </si>
  <si>
    <t>Optional specification of a trigger date for start of depreciation. Can be used to trigger depreciation of  an entire facility after completion (only for type purchase)</t>
  </si>
  <si>
    <t>PlanElementContract</t>
  </si>
  <si>
    <t>Planning element for personnel cost</t>
  </si>
  <si>
    <t>Personnel tariff for use in a Personnel Element</t>
  </si>
  <si>
    <t>Expense profile for personnel for us in a Personnel Element. Mainly contains social insurance tariffs, but may also be used for budgeting personnel expenses such as travel and phone</t>
  </si>
  <si>
    <t>idTariff</t>
  </si>
  <si>
    <t>StaffName</t>
  </si>
  <si>
    <t>FTEFactor</t>
  </si>
  <si>
    <t>Department</t>
  </si>
  <si>
    <t>Reference to personnel tariff specifying the base salary, shift allowances and bonus payments</t>
  </si>
  <si>
    <t>Reference to expense profile specifying social insurance rates and other expense categories</t>
  </si>
  <si>
    <t>Name of staff if individual</t>
  </si>
  <si>
    <t>Name of assigned department</t>
  </si>
  <si>
    <t>FTE Factor for part-time staff</t>
  </si>
  <si>
    <t>RatioShiftNight</t>
  </si>
  <si>
    <t>RatioShiftSpecial</t>
  </si>
  <si>
    <t>RatioOvertime</t>
  </si>
  <si>
    <t>Share of worktime in night shift with allowance</t>
  </si>
  <si>
    <t>Share of worktime in special shift (Sunday, holiday) with allowance</t>
  </si>
  <si>
    <t>Share of extra worktime/overtime with overtime allowance if applicable</t>
  </si>
  <si>
    <t>TitleTariff</t>
  </si>
  <si>
    <t>AnnualLeave</t>
  </si>
  <si>
    <t>StandardHolidays</t>
  </si>
  <si>
    <t>RateShiftNight</t>
  </si>
  <si>
    <t>RateShiftSpecial</t>
  </si>
  <si>
    <t>RateOvertime</t>
  </si>
  <si>
    <t>RateAnnualBonus</t>
  </si>
  <si>
    <t>AnnualBonusMonth</t>
  </si>
  <si>
    <t>FlagShared</t>
  </si>
  <si>
    <t>TariffIndex</t>
  </si>
  <si>
    <t>Tariff validity can be limited in case of tariff change</t>
  </si>
  <si>
    <t>WorkTimeWeekly</t>
  </si>
  <si>
    <t>Number of work days vacation entitlement per year</t>
  </si>
  <si>
    <t>Number of free workdays per year due to holidays as per locale. Currently region specific annual available worktime is not supported</t>
  </si>
  <si>
    <t>BaseSalaryMonthly</t>
  </si>
  <si>
    <t>Number of work hours per week on FTE basis - based on 5 day work week</t>
  </si>
  <si>
    <t>Monthly base salary for fulltime equivalent without allowances. Specified in currency if defined. Else in base currency of the client</t>
  </si>
  <si>
    <t>Allowance rate for night shift worktime  - in addition to base salary. Typical percentage &lt; 100%</t>
  </si>
  <si>
    <t>Allowance rate for special shift worktime  - in addition to base salary. Typical percentage &lt; 100%</t>
  </si>
  <si>
    <t>Allowance rate for overtime work as a ratio of base salary. Typical percentage &gt;= 100%</t>
  </si>
  <si>
    <t>Optional annual bonus as a ratio of the monthly base salary</t>
  </si>
  <si>
    <t>Month of year for payout of annual bonus</t>
  </si>
  <si>
    <t>Indicates whether a tariff can be shared between several staff</t>
  </si>
  <si>
    <t>idAccountSalary</t>
  </si>
  <si>
    <t>Booking account for salary</t>
  </si>
  <si>
    <t>PayDay</t>
  </si>
  <si>
    <t>Day in month for salary payments</t>
  </si>
  <si>
    <t xml:space="preserve">Reference to tariff master account. There can be several tariff details per tariff based on different DateValidTo. </t>
  </si>
  <si>
    <t>PlanHRTariff</t>
  </si>
  <si>
    <t>PlanHRTariffDetail</t>
  </si>
  <si>
    <t>PlanHRExpense</t>
  </si>
  <si>
    <t>PlanElementHR</t>
  </si>
  <si>
    <t>tPlanHRTariff</t>
  </si>
  <si>
    <t>tPlanHRExpense</t>
  </si>
  <si>
    <t>HR</t>
  </si>
  <si>
    <t>tPlanElementHR</t>
  </si>
  <si>
    <t>tPlanHRTariffDetail</t>
  </si>
  <si>
    <t xml:space="preserve">Title of the tariff. Must be unique </t>
  </si>
  <si>
    <t>TitleExpenseGroup</t>
  </si>
  <si>
    <t>ExpenseGroupIndex</t>
  </si>
  <si>
    <t>TariffDescription</t>
  </si>
  <si>
    <t>Optional description of tariff</t>
  </si>
  <si>
    <t>ExpenseGroupDescription</t>
  </si>
  <si>
    <t>Optional description of the expense group</t>
  </si>
  <si>
    <t>Title of the expense group. Must be unique per client/plan</t>
  </si>
  <si>
    <t>idExpenseGroup</t>
  </si>
  <si>
    <t>PlanHRExpenseGroup</t>
  </si>
  <si>
    <t>tPlanHRExpenseGroup</t>
  </si>
  <si>
    <t>Validity of the expense item can be limited in case of change</t>
  </si>
  <si>
    <t>TitleExpense</t>
  </si>
  <si>
    <t>Title of the expense</t>
  </si>
  <si>
    <t>idAccountExpense</t>
  </si>
  <si>
    <t>Reference to the booking account for the expense</t>
  </si>
  <si>
    <t>RatioToSalary</t>
  </si>
  <si>
    <t>Ratio of the monthly salary applied to the expense. If zero: use absolute amount instead</t>
  </si>
  <si>
    <t>ExpenseAmount</t>
  </si>
  <si>
    <t>Amount of the expense. If RatioToSalary &gt; 0 the ExpenseAmount defines the maximum expense per month</t>
  </si>
  <si>
    <t>ApplyToBonusMode</t>
  </si>
  <si>
    <t>Specifies how bonus payments are considered in determining the expense payment. "Exclude": expense rate not applied to bonus. "Add": add bonus to monthly salary in payout month and apply expense rate and optional cap. "Distribute": Add 1/12 to salary of bonus month, determine impact of possible cap and apply 12 x difference between expense without bonus and expense with bonus</t>
  </si>
  <si>
    <t>TypeBonusExpenseMode</t>
  </si>
  <si>
    <t>Distribute</t>
  </si>
  <si>
    <t>Add</t>
  </si>
  <si>
    <t>Exclude</t>
  </si>
  <si>
    <t>DeductFromSalary</t>
  </si>
  <si>
    <t>Defines an optional share of the expense that is deducted from the salary. For instance for social insurance premiums that are partially paid by the employee.</t>
  </si>
  <si>
    <t>DateInflationBase</t>
  </si>
  <si>
    <t>FlagUpdate</t>
  </si>
  <si>
    <t>Add custom trigger table and auto-generate triggers for updates across relationshsips</t>
  </si>
  <si>
    <t>Create user creation and maintenance functionality</t>
  </si>
  <si>
    <t>Create plan implementation command</t>
  </si>
  <si>
    <t>Make plan implementation async</t>
  </si>
  <si>
    <t>Import booking run from DATEV</t>
  </si>
  <si>
    <t>SalaryCap</t>
  </si>
  <si>
    <t>ImportFileName</t>
  </si>
  <si>
    <t>ImportedDate</t>
  </si>
  <si>
    <t>ImportFileDate</t>
  </si>
  <si>
    <t>DATEVClientNumber</t>
  </si>
  <si>
    <t>Defines the optional client number for DATEV journal imports</t>
  </si>
  <si>
    <t>BookingRunTitle</t>
  </si>
  <si>
    <t>Optional title of the booking run according to the journal file</t>
  </si>
  <si>
    <t>BookingDocument</t>
  </si>
  <si>
    <t>AccountCodeFrom</t>
  </si>
  <si>
    <t>AccountCodeTo</t>
  </si>
  <si>
    <t>idAccountReportingDefault</t>
  </si>
  <si>
    <t>TypeAccountDefault</t>
  </si>
  <si>
    <t>RecordsImported</t>
  </si>
  <si>
    <t>RecordsOmitted</t>
  </si>
  <si>
    <t>PlanHR</t>
  </si>
  <si>
    <t>Direkte Integration einer Personalnummer als Buchungsreferenz in PlanHR, statt ReferenceCode</t>
  </si>
  <si>
    <t>Integration von Zulagen zur Altersvorsorge und PKV in Tarifdetails</t>
  </si>
  <si>
    <t>Verlagerung FTE Quote, Shift Ratios in TarifDetails</t>
  </si>
  <si>
    <t>Inflation Date in Tarifdetails verlagern</t>
  </si>
  <si>
    <t>DataImport</t>
  </si>
  <si>
    <t>Excel import auf OpenXML mit Filedialog umstellen</t>
  </si>
  <si>
    <t>DATEVImport</t>
  </si>
  <si>
    <t>Tidy up and make async with proper progress info</t>
  </si>
  <si>
    <t>DATEVImportFolder</t>
  </si>
  <si>
    <t>DataImportFolder</t>
  </si>
  <si>
    <t>JobReport</t>
  </si>
  <si>
    <t>JobReportItem</t>
  </si>
  <si>
    <t>tJobReport</t>
  </si>
  <si>
    <t>TypeJob</t>
  </si>
  <si>
    <t>DateJobStart</t>
  </si>
  <si>
    <t>DateJobEnd</t>
  </si>
  <si>
    <t>TypeJobSuccess</t>
  </si>
  <si>
    <t>JournalImport</t>
  </si>
  <si>
    <t>PlanImport</t>
  </si>
  <si>
    <t>PlanImplement</t>
  </si>
  <si>
    <t>Success</t>
  </si>
  <si>
    <t>Error</t>
  </si>
  <si>
    <t>Warning</t>
  </si>
  <si>
    <t>tJobReportItem</t>
  </si>
  <si>
    <t>idJobReport</t>
  </si>
  <si>
    <t>ObjectTitle</t>
  </si>
  <si>
    <t>Timestamp</t>
  </si>
  <si>
    <t>ResultCode</t>
  </si>
  <si>
    <t>ContextInfo</t>
  </si>
  <si>
    <t>Message</t>
  </si>
  <si>
    <t>Add payment term to expense items (eg. For BG)</t>
  </si>
  <si>
    <t>Excel Import All Accounts</t>
  </si>
  <si>
    <t>Excel Import Clients</t>
  </si>
  <si>
    <t>Excel Import Users</t>
  </si>
  <si>
    <t>tClient
tAccount</t>
  </si>
  <si>
    <t>TypePlanStatus</t>
  </si>
  <si>
    <t>tCurrency
tPlan</t>
  </si>
  <si>
    <t>VersionCode</t>
  </si>
  <si>
    <t>StatusPreliminary</t>
  </si>
  <si>
    <t>AccountCodeDebit</t>
  </si>
  <si>
    <t>AccountCodeCredit</t>
  </si>
  <si>
    <t>Check update trigger functionality upon record insert (eg. In tariff detail)</t>
  </si>
  <si>
    <t>Account titles wrong when account auto-generated upon DATEV import</t>
  </si>
  <si>
    <t>Account reference for depreciation of the item. If provided this will override any account specified in the plan element.</t>
  </si>
  <si>
    <t>DATEVBUCode</t>
  </si>
  <si>
    <t>short</t>
  </si>
  <si>
    <t>idAccountReport</t>
  </si>
  <si>
    <t>idAccountBooking</t>
  </si>
  <si>
    <t>AccountCodeReport</t>
  </si>
  <si>
    <t>idCostCenter</t>
  </si>
  <si>
    <t>MonthIndex</t>
  </si>
  <si>
    <t>DepreciationStartDay</t>
  </si>
  <si>
    <t>DepreciationStartMonth</t>
  </si>
  <si>
    <t>DepreciationStartYear</t>
  </si>
  <si>
    <t>Optional delayed start of depreciation in number of days versus transaction base date. Applied on every repeated transaction (not for allocation schedules). Used to delay depreciation or accrual for repeated transactions with prepayment such as annual insurance premiums (only for type purchase).</t>
  </si>
  <si>
    <t>Optional date for start of depreciation. Can be used to trigger depreciation of  an entire facility after completion (only for type purchase). Applied to base date if FlagDateOffset is true. Ignored if depreciation trigger is set.</t>
  </si>
  <si>
    <t>see DepreciationStartDay</t>
  </si>
  <si>
    <t>Indicates whether a the schedule rates are absolute currency or relative to the item budget</t>
  </si>
  <si>
    <t>FlagAbsoluteRates</t>
  </si>
  <si>
    <t>Accrued sale: PRAP to revenue per schedule, bank to PRAP at conversion date. Restructure H2020 plan elements (CC P0002)</t>
  </si>
  <si>
    <t>idCostCenterFixed</t>
  </si>
  <si>
    <t>Optional fixed cost center for expense. If not specified the cost center will be derived from the plan element.</t>
  </si>
  <si>
    <t>CostCenterFixed</t>
  </si>
  <si>
    <t>Automatic update of account code fields and other data warehouse fields in bookrecord and transaction</t>
  </si>
  <si>
    <t>Mark baseline and annual reporting records (EB Buchungen) to exclude for cash flow reporting</t>
  </si>
  <si>
    <t>FlagAccountOpening</t>
  </si>
  <si>
    <t>Flag indicates that booking record posts opening or closing amounts to the account. These booking transactions will be disregarded for cash flow calculations</t>
  </si>
  <si>
    <t>AccountSection</t>
  </si>
  <si>
    <t>Categorization of account main groups/groups into the major sections of balance sheet and P&amp;L</t>
  </si>
  <si>
    <t>AccountMainGroup</t>
  </si>
  <si>
    <t>Categoritzation of account groups into main groups for hierarchical reporting</t>
  </si>
  <si>
    <t>tClient
tAccountSection</t>
  </si>
  <si>
    <t>tAccountSection</t>
  </si>
  <si>
    <t>Title of the accounting report section</t>
  </si>
  <si>
    <t>SectionOrder</t>
  </si>
  <si>
    <t>Order number for reporting</t>
  </si>
  <si>
    <t>Other</t>
  </si>
  <si>
    <t>P_L</t>
  </si>
  <si>
    <t>Differentiates major accounting reports into assets, liabilities, P&amp;L and Other (technical) accounts. All other reports are derived from these major categories. Cash flow is a derived report.</t>
  </si>
  <si>
    <t>Title of the accounting report section (english)</t>
  </si>
  <si>
    <t>tAccountMainGroup</t>
  </si>
  <si>
    <t>idAccountSection</t>
  </si>
  <si>
    <t>Reference to account section</t>
  </si>
  <si>
    <t>Title of the accounting report main group</t>
  </si>
  <si>
    <t>Title of the accounting report main group (english)</t>
  </si>
  <si>
    <t>MainGroupOrder</t>
  </si>
  <si>
    <t>idAccountMainGroup</t>
  </si>
  <si>
    <t>Reference to account main group</t>
  </si>
  <si>
    <t>AccountGroupOrder</t>
  </si>
  <si>
    <t>TitleLocalSection</t>
  </si>
  <si>
    <t>TitleEnglishSection</t>
  </si>
  <si>
    <t>TitleLocalMainGroup</t>
  </si>
  <si>
    <t>TitleEnglishMainGroup</t>
  </si>
  <si>
    <t>Defines the reporting order for account groups</t>
  </si>
  <si>
    <t>Copy of account section id for faster reporting/database performance</t>
  </si>
  <si>
    <t>Copy of account main group id for faster reporting/database performance</t>
  </si>
  <si>
    <t>Copy of account type from account section for database performance. Specifies the type of account for P&amp;L and balance sheet (and other technical accounts which are not reported in balance sheet or P&amp;L). Balance sheets is separated into asset and liability accounts</t>
  </si>
  <si>
    <t>obsolete</t>
  </si>
  <si>
    <t>Specifies an alternative account code for reporting. This is used to report individual debitor and creditor accounts under a single reporting account. Booking transactions will be assigned to reporting account for fast reporting</t>
  </si>
  <si>
    <t>Import</t>
  </si>
  <si>
    <t>Implement import for AccountSection and AccountMainGroup, update import for AccountGroup and Account</t>
  </si>
  <si>
    <t>Auto update section, type and main group fields for data warehousing</t>
  </si>
  <si>
    <t>AllocationSchedule</t>
  </si>
  <si>
    <t>Update in items does not trigger element update flag</t>
  </si>
  <si>
    <t>Delete plan with dependant items</t>
  </si>
  <si>
    <t>ApprovedTo</t>
  </si>
  <si>
    <t>Date until which the plan as been approved as budget. Is set when TypeStatus moves to "Budget"</t>
  </si>
  <si>
    <t>Isse</t>
  </si>
  <si>
    <t>DB</t>
  </si>
  <si>
    <t>Schema Update auf Azure DB durchführen</t>
  </si>
  <si>
    <t>Done</t>
  </si>
  <si>
    <t>Plan als Budget genehmigen und festsetzen. BookRecord Status anpassen
Fortsetzen: PlanElementInstance.ApprovePlanElementInstance</t>
  </si>
  <si>
    <t>ReviewComment</t>
  </si>
  <si>
    <t>Free review comment. Change possible for actuals and fixed budget entries for commenting</t>
  </si>
  <si>
    <t>FlagForecast</t>
  </si>
  <si>
    <t>Indicates that the transaction is part of the current forecast</t>
  </si>
  <si>
    <t>Historical</t>
  </si>
  <si>
    <t>New</t>
  </si>
  <si>
    <t>SalaryDefault</t>
  </si>
  <si>
    <t>Obsolete</t>
  </si>
  <si>
    <t>Prio 1</t>
  </si>
  <si>
    <t>In plan element dialog provide reference code selection dialog.</t>
  </si>
  <si>
    <t>In plan element list in plan dialog: show reference code</t>
  </si>
  <si>
    <t>Create reference code list for Excel export to Business Central</t>
  </si>
  <si>
    <t>Create reference code edit dialog</t>
  </si>
  <si>
    <t>Import Kost1 from DATEV journal to reference code in BookingRecord and BookingTransaction</t>
  </si>
  <si>
    <t>Fill reference code fields in BookingRecord and BookingTransaction from Plan Element</t>
  </si>
  <si>
    <t>Add reference code field to BookingRecord and BookingTransaction</t>
  </si>
  <si>
    <t>Prio 2</t>
  </si>
  <si>
    <t xml:space="preserve">When entering reference code in plan element: check whether code is new. If code is new offer to generate new code with title of plan element and create new code in tReferenceCode. Display name of reference code next to code field in plan element. </t>
  </si>
  <si>
    <t>Change ReferenceCode data structure: ReferenceGroup as simple type with default. Add inactive flag to reference code table</t>
  </si>
  <si>
    <t>idReferenceGroupDefault</t>
  </si>
  <si>
    <t>Defines the default reference group for creation of new Reference Codes</t>
  </si>
  <si>
    <t>FlagActive</t>
  </si>
  <si>
    <t>Marks whether a reference code is used in accounting</t>
  </si>
  <si>
    <t>ReferenceIDBookTransaction</t>
  </si>
  <si>
    <t>TitleRefCodeEnglish</t>
  </si>
  <si>
    <t>Title of the reference item, optional, local language</t>
  </si>
  <si>
    <t>Title of the reference item, optional, english language</t>
  </si>
  <si>
    <t>C:\Users\thors\OneDrive\30. Develop\Projects\Verum\Design\DatabaseScripts</t>
  </si>
  <si>
    <t>Indicates that the transaction is part of the current baseline (budget + forecasted plans without actuals)</t>
  </si>
  <si>
    <t>D:\Verum Project\VerumAutoGenerateModels</t>
  </si>
  <si>
    <t>BCTransactionNo</t>
  </si>
  <si>
    <t xml:space="preserve">This is TransactionNumber of Dynamic 365 Business Center. We can get this transaction numer when call the api of GeneralLedgerPage or G_Lentries. </t>
  </si>
  <si>
    <t>BCDateUpdated</t>
  </si>
  <si>
    <t>BCDateCreated</t>
  </si>
  <si>
    <t>About the detail of when has this record been updated</t>
  </si>
  <si>
    <t>Date Time</t>
  </si>
  <si>
    <t>TransactionMainAccountCode</t>
  </si>
  <si>
    <t>About the detail of in which account amount are debit/credit. One transaction have multiple purchase/sale entries means that entries are debit/credit in one account. Through this column we can identify that account.</t>
  </si>
  <si>
    <t>BCGeneralLedgerPageAPIEntryNo</t>
  </si>
  <si>
    <t>This column are link with Dynamic 365 business Center Api "GeneralLedgerPage" field name EntryNo.</t>
  </si>
  <si>
    <t>BCLastUpdate</t>
  </si>
  <si>
    <t xml:space="preserve">last call datetime of Dynamic Business Center </t>
  </si>
  <si>
    <t>Data Source=TECHCOMPILER-35; Initial Catalog=VerumTest; Integrated Security=True</t>
  </si>
  <si>
    <t>BusinessCenterUrl</t>
  </si>
  <si>
    <t xml:space="preserve">Dynamic Business Center API are using for update bookrecord </t>
  </si>
  <si>
    <t>BCLastBookingCodeNo</t>
  </si>
  <si>
    <t>Last imported number into BookingRunCode for business center</t>
  </si>
  <si>
    <t>BCDocumentNo</t>
  </si>
  <si>
    <t>BCDocumentType</t>
  </si>
  <si>
    <t xml:space="preserve">We can get this numer when call the api of GeneralLedgerPage or G_Lentries. </t>
  </si>
  <si>
    <t xml:space="preserve">We can get this documenttype when call the api of GeneralLedgerPage or G_Lentries.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</si>
</sst>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i/>
      <sz val="11"/>
      <color theme="1"/>
      <name val="Calibri"/>
      <family val="2"/>
      <scheme val="minor"/>
    </font>
    <font>
      <sz val="11"/>
      <name val="Calibri"/>
      <family val="2"/>
      <scheme val="minor"/>
    </font>
    <font>
      <sz val="11"/>
      <color rgb="FFFF0000"/>
      <name val="Calibri"/>
      <family val="2"/>
      <scheme val="minor"/>
    </font>
    <font>
      <sz val="11"/>
      <color rgb="FF000000"/>
      <name val="Calibri"/>
      <family val="2"/>
    </font>
  </fonts>
  <fills count="3">
    <fill>
      <patternFill patternType="none"/>
    </fill>
    <fill>
      <patternFill patternType="gray125"/>
    </fill>
    <fill>
      <patternFill patternType="solid">
        <fgColor theme="4" tint="0.79998168889431442"/>
        <bgColor indexed="64"/>
      </patternFill>
    </fill>
  </fills>
  <borders count="10">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theme="1"/>
      </top>
      <bottom/>
      <diagonal/>
    </border>
    <border>
      <left style="thin">
        <color theme="1"/>
      </left>
      <right/>
      <top style="thin">
        <color theme="1"/>
      </top>
      <bottom/>
      <diagonal/>
    </border>
    <border>
      <left style="thin">
        <color theme="1"/>
      </left>
      <right/>
      <top style="thin">
        <color theme="1"/>
      </top>
      <bottom style="thin">
        <color theme="1"/>
      </bottom>
      <diagonal/>
    </border>
  </borders>
  <cellStyleXfs count="1">
    <xf numFmtId="0" fontId="0" fillId="0" borderId="0"/>
  </cellStyleXfs>
  <cellXfs count="18">
    <xf numFmtId="0" fontId="0" fillId="0" borderId="0" xfId="0"/>
    <xf numFmtId="0" fontId="0" fillId="0" borderId="0" xfId="0" applyAlignment="1">
      <alignment wrapText="1"/>
    </xf>
    <xf numFmtId="1" fontId="0" fillId="0" borderId="0" xfId="0" applyNumberFormat="1"/>
    <xf numFmtId="14" fontId="0" fillId="0" borderId="0" xfId="0" applyNumberFormat="1"/>
    <xf numFmtId="0" fontId="0" fillId="0" borderId="0" xfId="0" quotePrefix="1"/>
    <xf numFmtId="0" fontId="0" fillId="0" borderId="0" xfId="0" quotePrefix="1" applyAlignment="1">
      <alignment wrapText="1"/>
    </xf>
    <xf numFmtId="0" fontId="1" fillId="0" borderId="0" xfId="0" applyFont="1"/>
    <xf numFmtId="0" fontId="2" fillId="0" borderId="0" xfId="0" applyFont="1"/>
    <xf numFmtId="0" fontId="0" fillId="0" borderId="7" xfId="0" applyBorder="1"/>
    <xf numFmtId="0" fontId="3" fillId="0" borderId="0" xfId="0" applyFont="1" applyAlignment="1">
      <alignment wrapText="1"/>
    </xf>
    <xf numFmtId="0" fontId="0" fillId="0" borderId="8" xfId="0" applyBorder="1"/>
    <xf numFmtId="0" fontId="0" fillId="0" borderId="9" xfId="0" applyBorder="1"/>
    <xf numFmtId="0" fontId="0" fillId="2" borderId="1" xfId="0" applyFill="1" applyBorder="1" applyAlignment="1">
      <alignment horizontal="left"/>
    </xf>
    <xf numFmtId="0" fontId="0" fillId="2" borderId="2" xfId="0" applyFill="1" applyBorder="1" applyAlignment="1">
      <alignment horizontal="left"/>
    </xf>
    <xf numFmtId="0" fontId="0" fillId="2" borderId="3" xfId="0" applyFill="1" applyBorder="1" applyAlignment="1">
      <alignment horizontal="left"/>
    </xf>
    <xf numFmtId="0" fontId="0" fillId="2" borderId="4" xfId="0" applyFill="1" applyBorder="1" applyAlignment="1">
      <alignment horizontal="left"/>
    </xf>
    <xf numFmtId="0" fontId="0" fillId="2" borderId="5" xfId="0" applyFill="1" applyBorder="1" applyAlignment="1">
      <alignment horizontal="left"/>
    </xf>
    <xf numFmtId="0" fontId="0" fillId="2" borderId="6" xfId="0" applyFill="1" applyBorder="1" applyAlignment="1">
      <alignment horizontal="left"/>
    </xf>
  </cellXfs>
  <cellStyles count="1">
    <cellStyle name="Normal" xfId="0" builtinId="0"/>
  </cellStyles>
  <dxfs count="16">
    <dxf>
      <alignment horizontal="general" vertical="bottom" textRotation="0" wrapText="1" indent="0" justifyLastLine="0" shrinkToFit="0" readingOrder="0"/>
    </dxf>
    <dxf>
      <numFmt numFmtId="19" formatCode="dd/mm/yyyy"/>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 formatCode="0"/>
    </dxf>
    <dxf>
      <alignment horizontal="general" vertical="bottom" textRotation="0" wrapText="1" indent="0" justifyLastLine="0" shrinkToFit="0" readingOrder="0"/>
    </dxf>
    <dxf>
      <numFmt numFmtId="0" formatCode="General"/>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0</xdr:col>
          <xdr:colOff>2293620</xdr:colOff>
          <xdr:row>2</xdr:row>
          <xdr:rowOff>175260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Create Database Script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182880</xdr:rowOff>
        </xdr:from>
        <xdr:to>
          <xdr:col>0</xdr:col>
          <xdr:colOff>2293620</xdr:colOff>
          <xdr:row>5</xdr:row>
          <xdr:rowOff>160020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Create Entity Model Files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0EF4E85-9714-4E3F-A68F-D8E72A4058B6}" name="Tables" displayName="Tables" ref="A1:J40" totalsRowShown="0" headerRowDxfId="15">
  <autoFilter ref="A1:J40" xr:uid="{3FC7BAB2-83A4-4C49-B4E9-F430DFB9E271}"/>
  <sortState xmlns:xlrd2="http://schemas.microsoft.com/office/spreadsheetml/2017/richdata2" ref="A2:J40">
    <sortCondition ref="E2:E40"/>
  </sortState>
  <tableColumns count="10">
    <tableColumn id="1" xr3:uid="{21FC1D8E-375B-4557-BB68-7C2F1416CC6A}" name="Entity Name"/>
    <tableColumn id="4" xr3:uid="{63210F70-A66D-47AE-9387-CE903922C263}" name="Description" dataDxfId="14"/>
    <tableColumn id="5" xr3:uid="{C436C649-7E74-49DE-A6FA-1A0C6FBEDF28}" name="Master Data"/>
    <tableColumn id="7" xr3:uid="{632A4617-0077-479E-B2F3-1D97A0909B1F}" name="Depends on"/>
    <tableColumn id="8" xr3:uid="{9BDC6331-2593-49EB-9521-AE3AA1CB2118}" name="Cascade Sequence"/>
    <tableColumn id="9" xr3:uid="{AA0E25D1-83B5-4583-9F17-24702217E7BF}" name="AutoView"/>
    <tableColumn id="12" xr3:uid="{5E276711-A3ED-4899-9899-C2BC42B6F866}" name="Top Row Limit"/>
    <tableColumn id="11" xr3:uid="{FD14D4A8-30D5-4693-BBFE-4575910924BF}" name="TableName" dataDxfId="13">
      <calculatedColumnFormula>"t"&amp;Tables[[#This Row],[Entity Name]]</calculatedColumnFormula>
    </tableColumn>
    <tableColumn id="10" xr3:uid="{5681D341-E8C6-4CF2-BC51-EB346B60DFD7}" name="ViewName" dataDxfId="12">
      <calculatedColumnFormula>"v"&amp;Tables[[#This Row],[Entity Name]]</calculatedColumnFormula>
    </tableColumn>
    <tableColumn id="6" xr3:uid="{C2488DD9-6CA5-480B-8577-D47E57043B6A}" name="Actio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2901462-2DFB-45FC-B3DD-60AF81562293}" name="Fields" displayName="Fields" ref="A1:V323" totalsRowShown="0">
  <autoFilter ref="A1:V323" xr:uid="{6C9F4177-2F2C-46C1-9FC5-827AAE8A43DD}"/>
  <tableColumns count="22">
    <tableColumn id="13" xr3:uid="{3B2C1697-8730-4DEB-84E7-BA45396DF7D1}" name="Order"/>
    <tableColumn id="1" xr3:uid="{6EA5FBBD-4E4A-4620-B76D-119284E53186}" name="Object Name"/>
    <tableColumn id="2" xr3:uid="{2A01F41F-FA55-474D-87F0-5BB033C0C064}" name="Column Name"/>
    <tableColumn id="9" xr3:uid="{A3BA7825-3F4F-4AF5-B273-BBB87934CA8B}" name="Description" dataDxfId="11"/>
    <tableColumn id="3" xr3:uid="{0ED351C7-76F0-4840-80C9-EA8B456A0BAF}" name="Data Type_x000a_Access"/>
    <tableColumn id="12" xr3:uid="{71474AE3-01F0-483C-9BB1-4C82339D8278}" name="Data Type SQL Server"/>
    <tableColumn id="10" xr3:uid="{5F32AEB2-B34A-4A92-A8A3-A05D4F1DBE37}" name="Size" dataDxfId="10"/>
    <tableColumn id="4" xr3:uid="{6F09DC55-200B-4DBF-A3D4-6EE3A798FC09}" name="Nullable"/>
    <tableColumn id="6" xr3:uid="{F55B0A21-EDA5-4CD0-84B1-7139850136BF}" name="Default Value"/>
    <tableColumn id="17" xr3:uid="{2C1C0A30-B53E-43D2-9531-236E87FE7B36}" name="Format"/>
    <tableColumn id="16" xr3:uid="{4D83E5E2-8651-477A-AD56-10C5D19FACE1}" name="Type Definition" dataDxfId="9"/>
    <tableColumn id="21" xr3:uid="{88927A6F-2FE2-4543-89B9-1A058BEFFE8D}" name="Reference Entity" dataDxfId="8"/>
    <tableColumn id="7" xr3:uid="{A4BB75C7-3037-4569-8414-FC7A9CDCDA5E}" name="Reference Table">
      <calculatedColumnFormula>IF(Fields[[#This Row],[Reference Entity]]&lt;&gt;"","t" &amp;Fields[[#This Row],[Reference Entity]],"")</calculatedColumnFormula>
    </tableColumn>
    <tableColumn id="22" xr3:uid="{49FA5B68-9EFD-4E54-8C58-4232C853FD5A}" name="Reference Field"/>
    <tableColumn id="15" xr3:uid="{32BA2C6A-3C6A-42C3-852A-8DFF434C660C}" name="Integrity"/>
    <tableColumn id="11" xr3:uid="{E2506CF4-3DEE-4527-B7DB-425D56BA3249}" name="Triggers" dataDxfId="7"/>
    <tableColumn id="8" xr3:uid="{2367896C-43EE-40EE-8815-B40A76B58138}" name="Index"/>
    <tableColumn id="18" xr3:uid="{A0B4A292-9090-4D70-BF39-DFF27CCDC9A3}" name="Unique" dataDxfId="6"/>
    <tableColumn id="5" xr3:uid="{3C0DD284-3B78-4282-A258-441F8153DDD2}" name="ViewAlias" dataDxfId="5"/>
    <tableColumn id="20" xr3:uid="{C60CBD46-F13E-49A7-BE9C-2CB07D3BF9C6}" name="ViewIgnoreRef" dataDxfId="4"/>
    <tableColumn id="19" xr3:uid="{74F7F88F-E45E-4FF5-84F1-02C8AC660F70}" name="ViewRefPostFix" dataDxfId="3"/>
    <tableColumn id="14" xr3:uid="{EF366D0D-6477-48BA-BBA8-D77C72AECCA1}" name="Status"/>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794D8D4-C8A7-4F0D-AD7F-91EC548C15F9}" name="Tabelle6" displayName="Tabelle6" ref="A1:D59" totalsRowShown="0">
  <autoFilter ref="A1:D59" xr:uid="{13AC1DF3-2914-46A7-9297-029DE38F270B}"/>
  <sortState xmlns:xlrd2="http://schemas.microsoft.com/office/spreadsheetml/2017/richdata2" ref="A2:D11">
    <sortCondition ref="A2:A11"/>
    <sortCondition ref="C2:C11"/>
  </sortState>
  <tableColumns count="4">
    <tableColumn id="1" xr3:uid="{BD3A0C55-57FB-4349-A0D6-E623CF68D1F5}" name="Type Name"/>
    <tableColumn id="2" xr3:uid="{752E80FD-D6A0-4F22-8359-0CEA55BDFE7E}" name="Title"/>
    <tableColumn id="3" xr3:uid="{3640DF04-3143-4EC2-85C9-0EA24F20CEBD}" name="Code"/>
    <tableColumn id="4" xr3:uid="{D2674F7F-BB5B-4476-AD62-C6403FA5FE52}" name="C# Code" dataDxfId="2">
      <calculatedColumnFormula>Tabelle6[[#This Row],[Title]] &amp; " = "&amp;Tabelle6[[#This Row],[Code]]&amp;IF(A3=Tabelle6[[#This Row],[Type Name]],",","")</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0A0050C-ADCF-407F-B955-F8F12404C339}" name="TaskLog" displayName="TaskLog" ref="A1:E108" totalsRowShown="0">
  <autoFilter ref="A1:E108" xr:uid="{D0F7D4B2-3E8F-4B71-9417-39F49A258EDE}">
    <filterColumn colId="4">
      <filters>
        <filter val="Prio 1"/>
        <filter val="Prio 2"/>
      </filters>
    </filterColumn>
  </autoFilter>
  <tableColumns count="5">
    <tableColumn id="1" xr3:uid="{AFDCA47B-D912-48C8-991C-7E9A00AFD09B}" name="Date" dataDxfId="1"/>
    <tableColumn id="2" xr3:uid="{8B648B12-BB3C-4E90-B5AA-D97AB1E0C0AD}" name="Type"/>
    <tableColumn id="5" xr3:uid="{AD6C6663-09B0-4DD9-98A3-4C57D49F866C}" name="Reference"/>
    <tableColumn id="3" xr3:uid="{83A80644-C3BA-4592-9E8B-D1A86E817BE4}" name="Description" dataDxfId="0"/>
    <tableColumn id="4" xr3:uid="{2E8CE2E6-5D6E-483A-894A-A7EAF41B5637}" name="Status"/>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2A08A1-4E0F-4459-85BA-460DF69C41CA}" name="SQLFieldTypes" displayName="SQLFieldTypes" ref="A1:A10" totalsRowShown="0">
  <autoFilter ref="A1:A10" xr:uid="{94018E9A-950F-4813-8689-1603526B402B}"/>
  <tableColumns count="1">
    <tableColumn id="1" xr3:uid="{278EC05D-BF16-41A3-86C7-CB8234A08E2E}" name="SQL Field Types"/>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60CC2A1-9B6A-402E-BD97-287B7396E541}" name="Tabelle5" displayName="Tabelle5" ref="C1:C3" totalsRowShown="0">
  <autoFilter ref="C1:C3" xr:uid="{225A529C-D533-4A03-991F-99B58CD1E589}"/>
  <tableColumns count="1">
    <tableColumn id="1" xr3:uid="{C82027A7-A6C3-417F-BB1F-4C536DBB4539}" name="Integrity"/>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2E656-1EB6-4F8F-B99F-98AAFC6668DF}">
  <sheetPr codeName="Tabelle4"/>
  <dimension ref="A11:K19"/>
  <sheetViews>
    <sheetView workbookViewId="0">
      <selection activeCell="E16" sqref="E16"/>
    </sheetView>
  </sheetViews>
  <sheetFormatPr defaultColWidth="11.44140625" defaultRowHeight="14.4" outlineLevelCol="1" x14ac:dyDescent="0.3"/>
  <cols>
    <col min="1" max="1" width="34.5546875" bestFit="1" customWidth="1"/>
    <col min="2" max="2" width="17.6640625" hidden="1" customWidth="1" outlineLevel="1"/>
    <col min="3" max="3" width="11.44140625" collapsed="1"/>
    <col min="7" max="7" width="40.33203125" customWidth="1"/>
  </cols>
  <sheetData>
    <row r="11" spans="1:7" x14ac:dyDescent="0.3">
      <c r="A11" s="6" t="s">
        <v>369</v>
      </c>
      <c r="B11" s="6" t="s">
        <v>372</v>
      </c>
    </row>
    <row r="12" spans="1:7" x14ac:dyDescent="0.3">
      <c r="A12" t="s">
        <v>356</v>
      </c>
      <c r="B12" t="s">
        <v>365</v>
      </c>
      <c r="C12" s="12" t="s">
        <v>889</v>
      </c>
      <c r="D12" s="13"/>
      <c r="E12" s="13"/>
      <c r="F12" s="13"/>
      <c r="G12" s="14"/>
    </row>
    <row r="13" spans="1:7" x14ac:dyDescent="0.3">
      <c r="A13" t="s">
        <v>383</v>
      </c>
      <c r="B13" t="s">
        <v>366</v>
      </c>
      <c r="C13" s="12" t="s">
        <v>891</v>
      </c>
      <c r="D13" s="13"/>
      <c r="E13" s="13"/>
      <c r="F13" s="13"/>
      <c r="G13" s="14"/>
    </row>
    <row r="14" spans="1:7" x14ac:dyDescent="0.3">
      <c r="A14" t="s">
        <v>384</v>
      </c>
      <c r="B14" t="s">
        <v>385</v>
      </c>
      <c r="C14" s="12" t="s">
        <v>891</v>
      </c>
      <c r="D14" s="13"/>
      <c r="E14" s="13"/>
      <c r="F14" s="13"/>
      <c r="G14" s="14"/>
    </row>
    <row r="16" spans="1:7" x14ac:dyDescent="0.3">
      <c r="A16" s="6" t="s">
        <v>363</v>
      </c>
    </row>
    <row r="17" spans="1:11" x14ac:dyDescent="0.3">
      <c r="A17" t="s">
        <v>364</v>
      </c>
      <c r="B17" t="s">
        <v>367</v>
      </c>
      <c r="C17" s="15" t="s">
        <v>368</v>
      </c>
      <c r="D17" s="16"/>
      <c r="E17" s="16"/>
      <c r="F17" s="16"/>
      <c r="G17" s="17"/>
    </row>
    <row r="18" spans="1:11" x14ac:dyDescent="0.3">
      <c r="A18" t="s">
        <v>370</v>
      </c>
      <c r="B18" t="s">
        <v>371</v>
      </c>
      <c r="C18" s="12" t="s">
        <v>904</v>
      </c>
      <c r="D18" s="13"/>
      <c r="E18" s="13"/>
      <c r="F18" s="13"/>
      <c r="G18" s="13"/>
      <c r="H18" s="13"/>
      <c r="I18" s="13"/>
      <c r="J18" s="13"/>
      <c r="K18" s="14"/>
    </row>
    <row r="19" spans="1:11" x14ac:dyDescent="0.3">
      <c r="A19" t="s">
        <v>373</v>
      </c>
      <c r="B19" t="s">
        <v>373</v>
      </c>
      <c r="C19" s="15" t="s">
        <v>374</v>
      </c>
      <c r="D19" s="16"/>
      <c r="E19" s="16"/>
      <c r="F19" s="16"/>
      <c r="G19" s="17"/>
    </row>
  </sheetData>
  <mergeCells count="6">
    <mergeCell ref="C13:G13"/>
    <mergeCell ref="C12:G12"/>
    <mergeCell ref="C17:G17"/>
    <mergeCell ref="C18:K18"/>
    <mergeCell ref="C19:G19"/>
    <mergeCell ref="C14:G14"/>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mdCreateSQL">
                <anchor moveWithCells="1" sizeWithCells="1">
                  <from>
                    <xdr:col>0</xdr:col>
                    <xdr:colOff>0</xdr:colOff>
                    <xdr:row>1</xdr:row>
                    <xdr:rowOff>0</xdr:rowOff>
                  </from>
                  <to>
                    <xdr:col>0</xdr:col>
                    <xdr:colOff>2293620</xdr:colOff>
                    <xdr:row>2</xdr:row>
                    <xdr:rowOff>175260</xdr:rowOff>
                  </to>
                </anchor>
              </controlPr>
            </control>
          </mc:Choice>
        </mc:AlternateContent>
        <mc:AlternateContent xmlns:mc="http://schemas.openxmlformats.org/markup-compatibility/2006">
          <mc:Choice Requires="x14">
            <control shapeId="4098" r:id="rId5" name="Button 2">
              <controlPr defaultSize="0" print="0" autoFill="0" autoPict="0" macro="[0]!CmdCreateEntityModel">
                <anchor moveWithCells="1" sizeWithCells="1">
                  <from>
                    <xdr:col>0</xdr:col>
                    <xdr:colOff>0</xdr:colOff>
                    <xdr:row>3</xdr:row>
                    <xdr:rowOff>182880</xdr:rowOff>
                  </from>
                  <to>
                    <xdr:col>0</xdr:col>
                    <xdr:colOff>2293620</xdr:colOff>
                    <xdr:row>5</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FF6BE-F814-41EE-B283-A5F648996D2F}">
  <sheetPr codeName="Tabelle1"/>
  <dimension ref="A1:J40"/>
  <sheetViews>
    <sheetView workbookViewId="0">
      <selection activeCell="H39" sqref="H39"/>
    </sheetView>
  </sheetViews>
  <sheetFormatPr defaultColWidth="11.44140625" defaultRowHeight="14.4" outlineLevelCol="1" x14ac:dyDescent="0.3"/>
  <cols>
    <col min="1" max="1" width="23" bestFit="1" customWidth="1"/>
    <col min="2" max="2" width="101.88671875" customWidth="1" outlineLevel="1"/>
    <col min="3" max="3" width="14" bestFit="1" customWidth="1"/>
    <col min="4" max="4" width="20.5546875" bestFit="1" customWidth="1"/>
    <col min="5" max="5" width="13.5546875" customWidth="1"/>
    <col min="6" max="6" width="12.109375" bestFit="1" customWidth="1"/>
    <col min="7" max="7" width="12.44140625" customWidth="1"/>
    <col min="8" max="8" width="23" bestFit="1" customWidth="1"/>
    <col min="9" max="9" width="23.33203125" style="1" bestFit="1" customWidth="1"/>
  </cols>
  <sheetData>
    <row r="1" spans="1:10" s="1" customFormat="1" ht="28.8" x14ac:dyDescent="0.3">
      <c r="A1" s="1" t="s">
        <v>353</v>
      </c>
      <c r="B1" s="1" t="s">
        <v>3</v>
      </c>
      <c r="C1" s="1" t="s">
        <v>23</v>
      </c>
      <c r="D1" s="1" t="s">
        <v>325</v>
      </c>
      <c r="E1" s="1" t="s">
        <v>326</v>
      </c>
      <c r="F1" s="1" t="s">
        <v>332</v>
      </c>
      <c r="G1" s="1" t="s">
        <v>355</v>
      </c>
      <c r="H1" s="1" t="s">
        <v>351</v>
      </c>
      <c r="I1" s="1" t="s">
        <v>352</v>
      </c>
      <c r="J1" s="1" t="s">
        <v>237</v>
      </c>
    </row>
    <row r="2" spans="1:10" x14ac:dyDescent="0.3">
      <c r="A2" t="s">
        <v>333</v>
      </c>
      <c r="B2" s="1" t="s">
        <v>92</v>
      </c>
      <c r="C2" t="s">
        <v>146</v>
      </c>
      <c r="E2">
        <v>1</v>
      </c>
      <c r="F2" t="s">
        <v>20</v>
      </c>
      <c r="G2">
        <v>0</v>
      </c>
      <c r="H2" t="str">
        <f>"t"&amp;Tables[[#This Row],[Entity Name]]</f>
        <v>tCurrency</v>
      </c>
      <c r="I2" t="str">
        <f>"v"&amp;Tables[[#This Row],[Entity Name]]</f>
        <v>vCurrency</v>
      </c>
      <c r="J2" t="s">
        <v>236</v>
      </c>
    </row>
    <row r="3" spans="1:10" ht="28.8" x14ac:dyDescent="0.3">
      <c r="A3" t="s">
        <v>147</v>
      </c>
      <c r="B3" s="1" t="s">
        <v>150</v>
      </c>
      <c r="C3" t="s">
        <v>146</v>
      </c>
      <c r="E3">
        <v>2</v>
      </c>
      <c r="F3" t="s">
        <v>20</v>
      </c>
      <c r="G3">
        <v>0</v>
      </c>
      <c r="H3" t="str">
        <f>"t"&amp;Tables[[#This Row],[Entity Name]]</f>
        <v>tClient</v>
      </c>
      <c r="I3" t="str">
        <f>"v"&amp;Tables[[#This Row],[Entity Name]]</f>
        <v>vClient</v>
      </c>
      <c r="J3" t="s">
        <v>236</v>
      </c>
    </row>
    <row r="4" spans="1:10" x14ac:dyDescent="0.3">
      <c r="A4" t="s">
        <v>468</v>
      </c>
      <c r="B4" s="1"/>
      <c r="C4" t="s">
        <v>146</v>
      </c>
      <c r="E4">
        <v>3</v>
      </c>
      <c r="F4" t="s">
        <v>20</v>
      </c>
      <c r="G4">
        <v>0</v>
      </c>
      <c r="H4" t="str">
        <f>"t"&amp;Tables[[#This Row],[Entity Name]]</f>
        <v>tTypeGroupDef</v>
      </c>
      <c r="I4" t="str">
        <f>"v"&amp;Tables[[#This Row],[Entity Name]]</f>
        <v>vTypeGroupDef</v>
      </c>
      <c r="J4" t="s">
        <v>469</v>
      </c>
    </row>
    <row r="5" spans="1:10" x14ac:dyDescent="0.3">
      <c r="A5" t="s">
        <v>467</v>
      </c>
      <c r="B5" s="1" t="s">
        <v>180</v>
      </c>
      <c r="C5" t="s">
        <v>146</v>
      </c>
      <c r="E5">
        <v>4</v>
      </c>
      <c r="F5" t="s">
        <v>20</v>
      </c>
      <c r="G5">
        <v>0</v>
      </c>
      <c r="H5" t="str">
        <f>"t"&amp;Tables[[#This Row],[Entity Name]]</f>
        <v>tTypeCodeDef</v>
      </c>
      <c r="I5" t="str">
        <f>"v"&amp;Tables[[#This Row],[Entity Name]]</f>
        <v>vTypeCodeDef</v>
      </c>
      <c r="J5" t="s">
        <v>469</v>
      </c>
    </row>
    <row r="6" spans="1:10" x14ac:dyDescent="0.3">
      <c r="A6" t="s">
        <v>527</v>
      </c>
      <c r="B6" s="1" t="s">
        <v>528</v>
      </c>
      <c r="D6" t="s">
        <v>8</v>
      </c>
      <c r="E6">
        <v>5</v>
      </c>
      <c r="F6" t="s">
        <v>20</v>
      </c>
      <c r="G6">
        <v>0</v>
      </c>
      <c r="H6" t="str">
        <f>"t"&amp;Tables[[#This Row],[Entity Name]]</f>
        <v>tUser</v>
      </c>
      <c r="I6" s="1" t="str">
        <f>"v"&amp;Tables[[#This Row],[Entity Name]]</f>
        <v>vUser</v>
      </c>
      <c r="J6" t="s">
        <v>469</v>
      </c>
    </row>
    <row r="7" spans="1:10" ht="28.8" x14ac:dyDescent="0.3">
      <c r="A7" t="s">
        <v>539</v>
      </c>
      <c r="B7" s="1" t="s">
        <v>540</v>
      </c>
      <c r="D7" s="1" t="s">
        <v>541</v>
      </c>
      <c r="E7">
        <v>6</v>
      </c>
      <c r="F7" t="s">
        <v>20</v>
      </c>
      <c r="G7">
        <v>0</v>
      </c>
      <c r="H7" t="str">
        <f>"t"&amp;Tables[[#This Row],[Entity Name]]</f>
        <v>tSession</v>
      </c>
      <c r="I7" s="1" t="str">
        <f>"v"&amp;Tables[[#This Row],[Entity Name]]</f>
        <v>vSession</v>
      </c>
      <c r="J7" t="s">
        <v>469</v>
      </c>
    </row>
    <row r="8" spans="1:10" x14ac:dyDescent="0.3">
      <c r="A8" t="s">
        <v>760</v>
      </c>
      <c r="B8" s="1"/>
      <c r="D8" t="str">
        <f>"t"&amp;Tables[[#This Row],[Entity Name]]</f>
        <v>tJobReport</v>
      </c>
      <c r="E8">
        <v>7</v>
      </c>
      <c r="F8" t="s">
        <v>20</v>
      </c>
      <c r="G8">
        <v>0</v>
      </c>
      <c r="H8" t="str">
        <f>"t"&amp;Tables[[#This Row],[Entity Name]]</f>
        <v>tJobReport</v>
      </c>
      <c r="I8" s="1" t="str">
        <f>"v"&amp;Tables[[#This Row],[Entity Name]]</f>
        <v>vJobReport</v>
      </c>
      <c r="J8" t="s">
        <v>236</v>
      </c>
    </row>
    <row r="9" spans="1:10" x14ac:dyDescent="0.3">
      <c r="A9" t="s">
        <v>761</v>
      </c>
      <c r="B9" s="1"/>
      <c r="D9" t="str">
        <f>"t"&amp;Tables[[#This Row],[Entity Name]]</f>
        <v>tJobReportItem</v>
      </c>
      <c r="E9">
        <v>8</v>
      </c>
      <c r="F9" t="s">
        <v>20</v>
      </c>
      <c r="G9">
        <v>0</v>
      </c>
      <c r="H9" t="str">
        <f>"t"&amp;Tables[[#This Row],[Entity Name]]</f>
        <v>tJobReportItem</v>
      </c>
      <c r="I9" s="1" t="str">
        <f>"v"&amp;Tables[[#This Row],[Entity Name]]</f>
        <v>vJobReportItem</v>
      </c>
      <c r="J9" t="s">
        <v>236</v>
      </c>
    </row>
    <row r="10" spans="1:10" x14ac:dyDescent="0.3">
      <c r="A10" t="s">
        <v>817</v>
      </c>
      <c r="B10" s="1" t="s">
        <v>818</v>
      </c>
      <c r="C10" t="s">
        <v>147</v>
      </c>
      <c r="D10" t="s">
        <v>8</v>
      </c>
      <c r="E10">
        <v>9</v>
      </c>
      <c r="F10" t="s">
        <v>20</v>
      </c>
      <c r="G10">
        <v>0</v>
      </c>
      <c r="H10" t="str">
        <f>"t"&amp;Tables[[#This Row],[Entity Name]]</f>
        <v>tAccountSection</v>
      </c>
      <c r="I10" s="1" t="str">
        <f>"v"&amp;Tables[[#This Row],[Entity Name]]</f>
        <v>vAccountSection</v>
      </c>
      <c r="J10" t="s">
        <v>236</v>
      </c>
    </row>
    <row r="11" spans="1:10" ht="28.8" x14ac:dyDescent="0.3">
      <c r="A11" t="s">
        <v>819</v>
      </c>
      <c r="B11" s="1" t="s">
        <v>820</v>
      </c>
      <c r="C11" t="s">
        <v>147</v>
      </c>
      <c r="D11" s="1" t="s">
        <v>821</v>
      </c>
      <c r="E11">
        <v>10</v>
      </c>
      <c r="F11" t="s">
        <v>20</v>
      </c>
      <c r="G11">
        <v>0</v>
      </c>
      <c r="H11" t="str">
        <f>"t"&amp;Tables[[#This Row],[Entity Name]]</f>
        <v>tAccountMainGroup</v>
      </c>
      <c r="I11" s="1" t="str">
        <f>"v"&amp;Tables[[#This Row],[Entity Name]]</f>
        <v>vAccountMainGroup</v>
      </c>
      <c r="J11" t="s">
        <v>236</v>
      </c>
    </row>
    <row r="12" spans="1:10" x14ac:dyDescent="0.3">
      <c r="A12" t="s">
        <v>336</v>
      </c>
      <c r="B12" s="1" t="s">
        <v>166</v>
      </c>
      <c r="C12" t="s">
        <v>147</v>
      </c>
      <c r="D12" t="s">
        <v>8</v>
      </c>
      <c r="E12">
        <v>11</v>
      </c>
      <c r="F12" t="s">
        <v>20</v>
      </c>
      <c r="G12">
        <v>0</v>
      </c>
      <c r="H12" t="str">
        <f>"t"&amp;Tables[[#This Row],[Entity Name]]</f>
        <v>tAccountGroup</v>
      </c>
      <c r="I12" t="str">
        <f>"v"&amp;Tables[[#This Row],[Entity Name]]</f>
        <v>vAccountGroup</v>
      </c>
      <c r="J12" t="s">
        <v>236</v>
      </c>
    </row>
    <row r="13" spans="1:10" ht="28.8" x14ac:dyDescent="0.3">
      <c r="A13" t="s">
        <v>335</v>
      </c>
      <c r="B13" s="1" t="s">
        <v>149</v>
      </c>
      <c r="C13" t="s">
        <v>147</v>
      </c>
      <c r="D13" s="1" t="s">
        <v>461</v>
      </c>
      <c r="E13">
        <v>12</v>
      </c>
      <c r="F13" t="s">
        <v>20</v>
      </c>
      <c r="G13">
        <v>0</v>
      </c>
      <c r="H13" t="str">
        <f>"t"&amp;Tables[[#This Row],[Entity Name]]</f>
        <v>tAccount</v>
      </c>
      <c r="I13" t="str">
        <f>"v"&amp;Tables[[#This Row],[Entity Name]]</f>
        <v>vAccount</v>
      </c>
      <c r="J13" t="s">
        <v>236</v>
      </c>
    </row>
    <row r="14" spans="1:10" ht="28.8" x14ac:dyDescent="0.3">
      <c r="A14" t="s">
        <v>334</v>
      </c>
      <c r="B14" s="1" t="s">
        <v>159</v>
      </c>
      <c r="C14" t="s">
        <v>147</v>
      </c>
      <c r="D14" s="1" t="s">
        <v>784</v>
      </c>
      <c r="E14" s="1">
        <v>13</v>
      </c>
      <c r="F14" t="s">
        <v>20</v>
      </c>
      <c r="G14">
        <v>0</v>
      </c>
      <c r="H14" s="1" t="str">
        <f>"t"&amp;Tables[[#This Row],[Entity Name]]</f>
        <v>tPlanAccountFunction</v>
      </c>
      <c r="I14" s="1" t="str">
        <f>"v"&amp;Tables[[#This Row],[Entity Name]]</f>
        <v>vPlanAccountFunction</v>
      </c>
      <c r="J14" t="s">
        <v>236</v>
      </c>
    </row>
    <row r="15" spans="1:10" x14ac:dyDescent="0.3">
      <c r="A15" t="s">
        <v>337</v>
      </c>
      <c r="B15" s="1" t="s">
        <v>34</v>
      </c>
      <c r="C15" t="s">
        <v>147</v>
      </c>
      <c r="D15" t="s">
        <v>8</v>
      </c>
      <c r="E15">
        <v>15</v>
      </c>
      <c r="F15" t="s">
        <v>20</v>
      </c>
      <c r="G15">
        <v>0</v>
      </c>
      <c r="H15" t="str">
        <f>"t"&amp;Tables[[#This Row],[Entity Name]]</f>
        <v>tCostCenter</v>
      </c>
      <c r="I15" t="str">
        <f>"v"&amp;Tables[[#This Row],[Entity Name]]</f>
        <v>vCostCenter</v>
      </c>
      <c r="J15" t="s">
        <v>236</v>
      </c>
    </row>
    <row r="16" spans="1:10" ht="28.8" x14ac:dyDescent="0.3">
      <c r="A16" t="s">
        <v>338</v>
      </c>
      <c r="B16" s="1" t="s">
        <v>510</v>
      </c>
      <c r="C16" t="s">
        <v>147</v>
      </c>
      <c r="D16" t="s">
        <v>8</v>
      </c>
      <c r="E16">
        <v>23</v>
      </c>
      <c r="F16" t="s">
        <v>20</v>
      </c>
      <c r="G16">
        <v>0</v>
      </c>
      <c r="H16" t="str">
        <f>"t"&amp;Tables[[#This Row],[Entity Name]]</f>
        <v>tDepreciationRule</v>
      </c>
      <c r="I16" t="str">
        <f>"v"&amp;Tables[[#This Row],[Entity Name]]</f>
        <v>vDepreciationRule</v>
      </c>
      <c r="J16" t="s">
        <v>236</v>
      </c>
    </row>
    <row r="17" spans="1:10" x14ac:dyDescent="0.3">
      <c r="A17" t="s">
        <v>339</v>
      </c>
      <c r="B17" s="1" t="s">
        <v>91</v>
      </c>
      <c r="C17" t="s">
        <v>147</v>
      </c>
      <c r="D17" t="s">
        <v>8</v>
      </c>
      <c r="E17">
        <v>24</v>
      </c>
      <c r="F17" t="s">
        <v>20</v>
      </c>
      <c r="G17">
        <v>0</v>
      </c>
      <c r="H17" t="str">
        <f>"t"&amp;Tables[[#This Row],[Entity Name]]</f>
        <v>tVATRule</v>
      </c>
      <c r="I17" t="str">
        <f>"v"&amp;Tables[[#This Row],[Entity Name]]</f>
        <v>vVATRule</v>
      </c>
      <c r="J17" t="s">
        <v>236</v>
      </c>
    </row>
    <row r="18" spans="1:10" x14ac:dyDescent="0.3">
      <c r="A18" t="s">
        <v>340</v>
      </c>
      <c r="B18" s="1" t="s">
        <v>272</v>
      </c>
      <c r="C18" t="s">
        <v>147</v>
      </c>
      <c r="D18" t="s">
        <v>8</v>
      </c>
      <c r="E18">
        <v>25</v>
      </c>
      <c r="F18" t="s">
        <v>20</v>
      </c>
      <c r="G18">
        <v>0</v>
      </c>
      <c r="H18" t="str">
        <f>"t"&amp;Tables[[#This Row],[Entity Name]]</f>
        <v>tReferenceGroup</v>
      </c>
      <c r="I18" t="str">
        <f>"v"&amp;Tables[[#This Row],[Entity Name]]</f>
        <v>vReferenceGroup</v>
      </c>
      <c r="J18" t="s">
        <v>236</v>
      </c>
    </row>
    <row r="19" spans="1:10" ht="28.8" x14ac:dyDescent="0.3">
      <c r="A19" t="s">
        <v>288</v>
      </c>
      <c r="B19" s="1" t="s">
        <v>162</v>
      </c>
      <c r="D19" t="s">
        <v>246</v>
      </c>
      <c r="E19">
        <v>26</v>
      </c>
      <c r="F19" t="s">
        <v>20</v>
      </c>
      <c r="G19">
        <v>0</v>
      </c>
      <c r="H19" t="str">
        <f>"t"&amp;Tables[[#This Row],[Entity Name]]</f>
        <v>tReferenceCode</v>
      </c>
      <c r="I19" t="str">
        <f>"v"&amp;Tables[[#This Row],[Entity Name]]</f>
        <v>vReferenceCode</v>
      </c>
      <c r="J19" t="s">
        <v>236</v>
      </c>
    </row>
    <row r="20" spans="1:10" x14ac:dyDescent="0.3">
      <c r="A20" t="s">
        <v>341</v>
      </c>
      <c r="B20" s="1" t="s">
        <v>202</v>
      </c>
      <c r="D20" t="s">
        <v>8</v>
      </c>
      <c r="E20">
        <v>27</v>
      </c>
      <c r="F20" t="s">
        <v>20</v>
      </c>
      <c r="G20">
        <v>0</v>
      </c>
      <c r="H20" t="str">
        <f>"t"&amp;Tables[[#This Row],[Entity Name]]</f>
        <v>tBookingRun</v>
      </c>
      <c r="I20" t="str">
        <f>"v"&amp;Tables[[#This Row],[Entity Name]]</f>
        <v>vBookingRun</v>
      </c>
      <c r="J20" t="s">
        <v>236</v>
      </c>
    </row>
    <row r="21" spans="1:10" ht="43.2" x14ac:dyDescent="0.3">
      <c r="A21" t="s">
        <v>342</v>
      </c>
      <c r="B21" s="1" t="s">
        <v>36</v>
      </c>
      <c r="D21" t="s">
        <v>8</v>
      </c>
      <c r="E21">
        <v>30</v>
      </c>
      <c r="F21" t="s">
        <v>20</v>
      </c>
      <c r="G21">
        <v>0</v>
      </c>
      <c r="H21" t="str">
        <f>"t"&amp;Tables[[#This Row],[Entity Name]]</f>
        <v>tPlan</v>
      </c>
      <c r="I21" t="str">
        <f>"v"&amp;Tables[[#This Row],[Entity Name]]</f>
        <v>vPlan</v>
      </c>
      <c r="J21" t="s">
        <v>236</v>
      </c>
    </row>
    <row r="22" spans="1:10" ht="28.8" x14ac:dyDescent="0.3">
      <c r="A22" t="s">
        <v>344</v>
      </c>
      <c r="B22" s="1" t="s">
        <v>51</v>
      </c>
      <c r="D22" t="s">
        <v>8</v>
      </c>
      <c r="E22">
        <v>31</v>
      </c>
      <c r="F22" t="s">
        <v>20</v>
      </c>
      <c r="G22">
        <v>0</v>
      </c>
      <c r="H22" t="str">
        <f>"t"&amp;Tables[[#This Row],[Entity Name]]</f>
        <v>tPlanGroup</v>
      </c>
      <c r="I22" t="str">
        <f>"v"&amp;Tables[[#This Row],[Entity Name]]</f>
        <v>vPlanGroup</v>
      </c>
      <c r="J22" t="s">
        <v>236</v>
      </c>
    </row>
    <row r="23" spans="1:10" ht="43.2" x14ac:dyDescent="0.3">
      <c r="A23" t="s">
        <v>343</v>
      </c>
      <c r="B23" s="1" t="s">
        <v>50</v>
      </c>
      <c r="D23" t="s">
        <v>8</v>
      </c>
      <c r="E23">
        <v>32</v>
      </c>
      <c r="F23" t="s">
        <v>20</v>
      </c>
      <c r="G23">
        <v>0</v>
      </c>
      <c r="H23" t="str">
        <f>"t"&amp;Tables[[#This Row],[Entity Name]]</f>
        <v>tPlanElement</v>
      </c>
      <c r="I23" t="str">
        <f>"v"&amp;Tables[[#This Row],[Entity Name]]</f>
        <v>vPlanElement</v>
      </c>
      <c r="J23" t="s">
        <v>236</v>
      </c>
    </row>
    <row r="24" spans="1:10" x14ac:dyDescent="0.3">
      <c r="A24" t="s">
        <v>450</v>
      </c>
      <c r="B24" s="1" t="s">
        <v>451</v>
      </c>
      <c r="D24" t="s">
        <v>35</v>
      </c>
      <c r="E24">
        <v>35</v>
      </c>
      <c r="F24" t="s">
        <v>20</v>
      </c>
      <c r="G24">
        <v>0</v>
      </c>
      <c r="H24" t="str">
        <f>"t"&amp;Tables[[#This Row],[Entity Name]]</f>
        <v>tPlanInflationRule</v>
      </c>
      <c r="I24" s="1" t="str">
        <f>"v"&amp;Tables[[#This Row],[Entity Name]]</f>
        <v>vPlanInflationRule</v>
      </c>
      <c r="J24" t="s">
        <v>236</v>
      </c>
    </row>
    <row r="25" spans="1:10" ht="28.8" x14ac:dyDescent="0.3">
      <c r="A25" t="s">
        <v>511</v>
      </c>
      <c r="B25" s="1" t="s">
        <v>111</v>
      </c>
      <c r="D25" s="1" t="s">
        <v>786</v>
      </c>
      <c r="E25">
        <v>40</v>
      </c>
      <c r="F25" t="s">
        <v>20</v>
      </c>
      <c r="G25">
        <v>0</v>
      </c>
      <c r="H25" t="str">
        <f>"t"&amp;Tables[[#This Row],[Entity Name]]</f>
        <v>tCurrencyExchangeRate</v>
      </c>
      <c r="I25" t="str">
        <f>"v"&amp;Tables[[#This Row],[Entity Name]]</f>
        <v>vCurrencyExchangeRate</v>
      </c>
      <c r="J25" t="s">
        <v>236</v>
      </c>
    </row>
    <row r="26" spans="1:10" ht="43.2" x14ac:dyDescent="0.3">
      <c r="A26" t="s">
        <v>347</v>
      </c>
      <c r="B26" s="1" t="s">
        <v>139</v>
      </c>
      <c r="D26" t="s">
        <v>35</v>
      </c>
      <c r="E26">
        <v>45</v>
      </c>
      <c r="F26" t="s">
        <v>20</v>
      </c>
      <c r="G26">
        <v>0</v>
      </c>
      <c r="H26" t="str">
        <f>"t"&amp;Tables[[#This Row],[Entity Name]]</f>
        <v>tPlanParameter</v>
      </c>
      <c r="I26" t="str">
        <f>"v"&amp;Tables[[#This Row],[Entity Name]]</f>
        <v>vPlanParameter</v>
      </c>
      <c r="J26" t="s">
        <v>236</v>
      </c>
    </row>
    <row r="27" spans="1:10" ht="57.6" x14ac:dyDescent="0.3">
      <c r="A27" t="s">
        <v>345</v>
      </c>
      <c r="B27" s="1" t="s">
        <v>90</v>
      </c>
      <c r="D27" t="s">
        <v>35</v>
      </c>
      <c r="E27">
        <v>50</v>
      </c>
      <c r="F27" t="s">
        <v>20</v>
      </c>
      <c r="G27">
        <v>0</v>
      </c>
      <c r="H27" t="str">
        <f>"t"&amp;Tables[[#This Row],[Entity Name]]</f>
        <v>tPlanAllocationSchedule</v>
      </c>
      <c r="I27" t="str">
        <f>"v"&amp;Tables[[#This Row],[Entity Name]]</f>
        <v>vPlanAllocationSchedule</v>
      </c>
      <c r="J27" t="s">
        <v>236</v>
      </c>
    </row>
    <row r="28" spans="1:10" x14ac:dyDescent="0.3">
      <c r="A28" t="s">
        <v>420</v>
      </c>
      <c r="B28" s="1" t="s">
        <v>421</v>
      </c>
      <c r="D28" t="s">
        <v>63</v>
      </c>
      <c r="E28">
        <v>51</v>
      </c>
      <c r="F28" t="s">
        <v>20</v>
      </c>
      <c r="G28">
        <v>0</v>
      </c>
      <c r="H28" t="str">
        <f>"t"&amp;Tables[[#This Row],[Entity Name]]</f>
        <v>tPlanAllocationScheduleItems</v>
      </c>
      <c r="I28" t="str">
        <f>"v"&amp;Tables[[#This Row],[Entity Name]]</f>
        <v>vPlanAllocationScheduleItems</v>
      </c>
      <c r="J28" t="s">
        <v>236</v>
      </c>
    </row>
    <row r="29" spans="1:10" x14ac:dyDescent="0.3">
      <c r="A29" t="s">
        <v>690</v>
      </c>
      <c r="B29" s="1" t="s">
        <v>645</v>
      </c>
      <c r="D29" t="s">
        <v>35</v>
      </c>
      <c r="E29">
        <v>52</v>
      </c>
      <c r="F29" t="s">
        <v>20</v>
      </c>
      <c r="G29">
        <v>0</v>
      </c>
      <c r="H29" t="str">
        <f>"t"&amp;Tables[[#This Row],[Entity Name]]</f>
        <v>tPlanHRTariff</v>
      </c>
      <c r="I29" s="1" t="str">
        <f>"v"&amp;Tables[[#This Row],[Entity Name]]</f>
        <v>vPlanHRTariff</v>
      </c>
      <c r="J29" t="s">
        <v>469</v>
      </c>
    </row>
    <row r="30" spans="1:10" x14ac:dyDescent="0.3">
      <c r="A30" t="s">
        <v>691</v>
      </c>
      <c r="B30" s="1" t="s">
        <v>645</v>
      </c>
      <c r="D30" t="s">
        <v>694</v>
      </c>
      <c r="E30">
        <v>53</v>
      </c>
      <c r="F30" t="s">
        <v>20</v>
      </c>
      <c r="G30">
        <v>0</v>
      </c>
      <c r="H30" t="str">
        <f>"t"&amp;Tables[[#This Row],[Entity Name]]</f>
        <v>tPlanHRTariffDetail</v>
      </c>
      <c r="I30" s="1" t="str">
        <f>"v"&amp;Tables[[#This Row],[Entity Name]]</f>
        <v>vPlanHRTariffDetail</v>
      </c>
      <c r="J30" t="s">
        <v>469</v>
      </c>
    </row>
    <row r="31" spans="1:10" ht="28.8" x14ac:dyDescent="0.3">
      <c r="A31" t="s">
        <v>708</v>
      </c>
      <c r="B31" s="1" t="s">
        <v>646</v>
      </c>
      <c r="D31" t="s">
        <v>35</v>
      </c>
      <c r="E31">
        <v>54</v>
      </c>
      <c r="F31" t="s">
        <v>20</v>
      </c>
      <c r="G31">
        <v>0</v>
      </c>
      <c r="H31" t="str">
        <f>"t"&amp;Tables[[#This Row],[Entity Name]]</f>
        <v>tPlanHRExpenseGroup</v>
      </c>
      <c r="I31" s="1" t="str">
        <f>"v"&amp;Tables[[#This Row],[Entity Name]]</f>
        <v>vPlanHRExpenseGroup</v>
      </c>
      <c r="J31" t="s">
        <v>469</v>
      </c>
    </row>
    <row r="32" spans="1:10" x14ac:dyDescent="0.3">
      <c r="A32" t="s">
        <v>692</v>
      </c>
      <c r="B32" s="1"/>
      <c r="D32" t="s">
        <v>709</v>
      </c>
      <c r="E32">
        <v>55</v>
      </c>
      <c r="F32" t="s">
        <v>20</v>
      </c>
      <c r="G32">
        <v>0</v>
      </c>
      <c r="H32" t="str">
        <f>"t"&amp;Tables[[#This Row],[Entity Name]]</f>
        <v>tPlanHRExpense</v>
      </c>
      <c r="I32" s="1" t="str">
        <f>"v"&amp;Tables[[#This Row],[Entity Name]]</f>
        <v>vPlanHRExpense</v>
      </c>
      <c r="J32" t="s">
        <v>469</v>
      </c>
    </row>
    <row r="33" spans="1:10" ht="28.8" x14ac:dyDescent="0.3">
      <c r="A33" t="s">
        <v>346</v>
      </c>
      <c r="B33" s="1" t="s">
        <v>118</v>
      </c>
      <c r="D33" s="1" t="s">
        <v>462</v>
      </c>
      <c r="E33">
        <v>56</v>
      </c>
      <c r="F33" t="s">
        <v>20</v>
      </c>
      <c r="G33">
        <v>0</v>
      </c>
      <c r="H33" t="str">
        <f>"t"&amp;Tables[[#This Row],[Entity Name]]</f>
        <v>tPlanElementInstance</v>
      </c>
      <c r="I33" t="str">
        <f>"v"&amp;Tables[[#This Row],[Entity Name]]</f>
        <v>vPlanElementInstance</v>
      </c>
      <c r="J33" t="s">
        <v>236</v>
      </c>
    </row>
    <row r="34" spans="1:10" x14ac:dyDescent="0.3">
      <c r="A34" t="s">
        <v>643</v>
      </c>
      <c r="B34" s="1" t="s">
        <v>52</v>
      </c>
      <c r="D34" t="s">
        <v>117</v>
      </c>
      <c r="E34">
        <v>60</v>
      </c>
      <c r="F34" t="s">
        <v>20</v>
      </c>
      <c r="G34">
        <v>0</v>
      </c>
      <c r="H34" t="str">
        <f>"t"&amp;Tables[[#This Row],[Entity Name]]</f>
        <v>tPlanElementContract</v>
      </c>
      <c r="I34" t="str">
        <f>"v"&amp;Tables[[#This Row],[Entity Name]]</f>
        <v>vPlanElementContract</v>
      </c>
      <c r="J34" t="s">
        <v>236</v>
      </c>
    </row>
    <row r="35" spans="1:10" x14ac:dyDescent="0.3">
      <c r="A35" t="s">
        <v>632</v>
      </c>
      <c r="B35" s="1" t="s">
        <v>633</v>
      </c>
      <c r="D35" t="s">
        <v>117</v>
      </c>
      <c r="E35">
        <v>61</v>
      </c>
      <c r="F35" t="s">
        <v>20</v>
      </c>
      <c r="G35">
        <v>0</v>
      </c>
      <c r="H35" t="str">
        <f>"t"&amp;Tables[[#This Row],[Entity Name]]</f>
        <v>tPlanElementBooking</v>
      </c>
      <c r="I35" t="str">
        <f>"v"&amp;Tables[[#This Row],[Entity Name]]</f>
        <v>vPlanElementBooking</v>
      </c>
      <c r="J35" t="s">
        <v>236</v>
      </c>
    </row>
    <row r="36" spans="1:10" x14ac:dyDescent="0.3">
      <c r="A36" t="s">
        <v>693</v>
      </c>
      <c r="B36" s="1" t="s">
        <v>644</v>
      </c>
      <c r="D36" t="s">
        <v>117</v>
      </c>
      <c r="E36">
        <v>62</v>
      </c>
      <c r="F36" t="s">
        <v>20</v>
      </c>
      <c r="G36">
        <v>0</v>
      </c>
      <c r="H36" t="str">
        <f>"t"&amp;Tables[[#This Row],[Entity Name]]</f>
        <v>tPlanElementHR</v>
      </c>
      <c r="I36" s="1" t="str">
        <f>"v"&amp;Tables[[#This Row],[Entity Name]]</f>
        <v>vPlanElementHR</v>
      </c>
      <c r="J36" t="s">
        <v>469</v>
      </c>
    </row>
    <row r="37" spans="1:10" x14ac:dyDescent="0.3">
      <c r="A37" t="s">
        <v>348</v>
      </c>
      <c r="B37" s="1" t="s">
        <v>164</v>
      </c>
      <c r="D37" t="s">
        <v>35</v>
      </c>
      <c r="E37">
        <v>65</v>
      </c>
      <c r="F37" t="s">
        <v>20</v>
      </c>
      <c r="G37">
        <v>0</v>
      </c>
      <c r="H37" t="str">
        <f>"t"&amp;Tables[[#This Row],[Entity Name]]</f>
        <v>tPlanTransaction</v>
      </c>
      <c r="I37" t="str">
        <f>"v"&amp;Tables[[#This Row],[Entity Name]]</f>
        <v>vPlanTransaction</v>
      </c>
      <c r="J37" t="s">
        <v>236</v>
      </c>
    </row>
    <row r="38" spans="1:10" ht="28.8" x14ac:dyDescent="0.3">
      <c r="A38" t="s">
        <v>349</v>
      </c>
      <c r="B38" s="1" t="s">
        <v>160</v>
      </c>
      <c r="D38" t="s">
        <v>201</v>
      </c>
      <c r="E38">
        <v>70</v>
      </c>
      <c r="F38" t="s">
        <v>20</v>
      </c>
      <c r="G38">
        <v>0</v>
      </c>
      <c r="H38" t="str">
        <f>"t"&amp;Tables[[#This Row],[Entity Name]]</f>
        <v>tBookRecord</v>
      </c>
      <c r="I38" t="str">
        <f>"v"&amp;Tables[[#This Row],[Entity Name]]</f>
        <v>vBookRecord</v>
      </c>
      <c r="J38" t="s">
        <v>236</v>
      </c>
    </row>
    <row r="39" spans="1:10" ht="28.8" x14ac:dyDescent="0.3">
      <c r="A39" t="s">
        <v>350</v>
      </c>
      <c r="B39" s="1" t="s">
        <v>161</v>
      </c>
      <c r="D39" t="s">
        <v>156</v>
      </c>
      <c r="E39">
        <v>71</v>
      </c>
      <c r="F39" t="s">
        <v>20</v>
      </c>
      <c r="G39">
        <v>0</v>
      </c>
      <c r="H39" t="str">
        <f>"t"&amp;Tables[[#This Row],[Entity Name]]</f>
        <v>tBookTransaction</v>
      </c>
      <c r="I39" t="str">
        <f>"v"&amp;Tables[[#This Row],[Entity Name]]</f>
        <v>vBookTransaction</v>
      </c>
      <c r="J39" t="s">
        <v>236</v>
      </c>
    </row>
    <row r="40" spans="1:10" x14ac:dyDescent="0.3">
      <c r="B40" s="1"/>
      <c r="H40" t="str">
        <f>"t"&amp;Tables[[#This Row],[Entity Name]]</f>
        <v>t</v>
      </c>
      <c r="I40" s="1" t="str">
        <f>"v"&amp;Tables[[#This Row],[Entity Name]]</f>
        <v>v</v>
      </c>
    </row>
  </sheetData>
  <dataValidations count="2">
    <dataValidation type="list" allowBlank="1" showInputMessage="1" showErrorMessage="1" sqref="F2:F40" xr:uid="{076D77D5-9704-4063-8413-430C44FC1DFF}">
      <formula1>"Yes"</formula1>
    </dataValidation>
    <dataValidation type="list" allowBlank="1" showInputMessage="1" showErrorMessage="1" sqref="J2:J40" xr:uid="{009E70E0-7798-49BC-9AA7-F1A948EAF37F}">
      <formula1>"CREATE,NEW,UPDATE,PLAN,DELETE"</formula1>
    </dataValidation>
  </dataValidations>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2A36-65F0-44B1-9220-CD563E803E02}">
  <sheetPr codeName="Tabelle2"/>
  <dimension ref="A1:V323"/>
  <sheetViews>
    <sheetView tabSelected="1" topLeftCell="A54" zoomScale="85" zoomScaleNormal="85" workbookViewId="0">
      <selection activeCell="D71" sqref="D71"/>
    </sheetView>
  </sheetViews>
  <sheetFormatPr defaultColWidth="11.44140625" defaultRowHeight="14.4" outlineLevelCol="1" x14ac:dyDescent="0.3"/>
  <cols>
    <col min="1" max="1" width="5.5546875" customWidth="1"/>
    <col min="2" max="2" width="28.109375" bestFit="1" customWidth="1"/>
    <col min="3" max="3" width="29.77734375" bestFit="1" customWidth="1"/>
    <col min="4" max="4" width="89" customWidth="1" outlineLevel="1"/>
    <col min="5" max="5" width="17.33203125" bestFit="1" customWidth="1"/>
    <col min="6" max="6" width="16" bestFit="1" customWidth="1"/>
    <col min="7" max="7" width="7" bestFit="1" customWidth="1"/>
    <col min="8" max="8" width="10.88671875" bestFit="1" customWidth="1"/>
    <col min="9" max="9" width="15.44140625" bestFit="1" customWidth="1"/>
    <col min="10" max="10" width="10" bestFit="1" customWidth="1"/>
    <col min="11" max="11" width="17.6640625" style="1" customWidth="1"/>
    <col min="12" max="12" width="23" bestFit="1" customWidth="1"/>
    <col min="13" max="13" width="17.33203125" bestFit="1" customWidth="1"/>
    <col min="14" max="14" width="17.33203125" customWidth="1"/>
    <col min="15" max="15" width="16.5546875" bestFit="1" customWidth="1"/>
    <col min="16" max="16" width="29" bestFit="1" customWidth="1"/>
    <col min="18" max="19" width="19.44140625" style="1" bestFit="1" customWidth="1"/>
    <col min="20" max="20" width="17.33203125" bestFit="1" customWidth="1"/>
  </cols>
  <sheetData>
    <row r="1" spans="1:22" ht="28.8" x14ac:dyDescent="0.3">
      <c r="A1" t="s">
        <v>123</v>
      </c>
      <c r="B1" t="s">
        <v>0</v>
      </c>
      <c r="C1" t="s">
        <v>1</v>
      </c>
      <c r="D1" s="1" t="s">
        <v>3</v>
      </c>
      <c r="E1" s="1" t="s">
        <v>31</v>
      </c>
      <c r="F1" s="1" t="s">
        <v>235</v>
      </c>
      <c r="G1" t="s">
        <v>24</v>
      </c>
      <c r="H1" t="s">
        <v>2</v>
      </c>
      <c r="I1" t="s">
        <v>13</v>
      </c>
      <c r="J1" t="s">
        <v>169</v>
      </c>
      <c r="K1" s="1" t="s">
        <v>132</v>
      </c>
      <c r="L1" s="1" t="s">
        <v>400</v>
      </c>
      <c r="M1" t="s">
        <v>401</v>
      </c>
      <c r="N1" t="s">
        <v>402</v>
      </c>
      <c r="O1" t="s">
        <v>141</v>
      </c>
      <c r="P1" t="s">
        <v>48</v>
      </c>
      <c r="Q1" t="s">
        <v>245</v>
      </c>
      <c r="R1" t="s">
        <v>274</v>
      </c>
      <c r="S1" t="s">
        <v>354</v>
      </c>
      <c r="T1" t="s">
        <v>357</v>
      </c>
      <c r="U1" t="s">
        <v>358</v>
      </c>
      <c r="V1" t="s">
        <v>324</v>
      </c>
    </row>
    <row r="2" spans="1:22" x14ac:dyDescent="0.3">
      <c r="A2">
        <v>1</v>
      </c>
      <c r="B2" t="s">
        <v>145</v>
      </c>
      <c r="C2" t="s">
        <v>5</v>
      </c>
      <c r="D2" s="1" t="s">
        <v>174</v>
      </c>
      <c r="E2" t="s">
        <v>488</v>
      </c>
      <c r="F2" t="s">
        <v>487</v>
      </c>
      <c r="G2" s="2"/>
      <c r="L2" s="1"/>
      <c r="P2" s="1"/>
      <c r="Q2" t="s">
        <v>25</v>
      </c>
      <c r="R2" t="s">
        <v>20</v>
      </c>
      <c r="S2"/>
      <c r="V2" s="1"/>
    </row>
    <row r="3" spans="1:22" ht="28.8" x14ac:dyDescent="0.3">
      <c r="A3">
        <v>2</v>
      </c>
      <c r="B3" t="s">
        <v>145</v>
      </c>
      <c r="C3" t="s">
        <v>167</v>
      </c>
      <c r="D3" s="1" t="s">
        <v>175</v>
      </c>
      <c r="E3" t="s">
        <v>488</v>
      </c>
      <c r="F3" t="s">
        <v>487</v>
      </c>
      <c r="G3" s="2"/>
      <c r="H3" t="s">
        <v>20</v>
      </c>
      <c r="L3" s="1" t="s">
        <v>336</v>
      </c>
      <c r="M3" t="str">
        <f>IF(Fields[[#This Row],[Reference Entity]]&lt;&gt;"","t" &amp;Fields[[#This Row],[Reference Entity]],"")</f>
        <v>tAccountGroup</v>
      </c>
      <c r="N3" t="str">
        <f>IF(Fields[[#This Row],[Reference Entity]]&lt;&gt;"",RIGHT(Fields[[#This Row],[Column Name]],LEN(Fields[[#This Row],[Column Name]])-2),"")</f>
        <v>AccountGroup</v>
      </c>
      <c r="O3" t="s">
        <v>142</v>
      </c>
      <c r="P3" s="1"/>
      <c r="Q3" t="str">
        <f>Fields[[#This Row],[Column Name]]</f>
        <v>idAccountGroup</v>
      </c>
      <c r="R3"/>
      <c r="S3"/>
      <c r="V3" s="1"/>
    </row>
    <row r="4" spans="1:22" ht="28.8" x14ac:dyDescent="0.3">
      <c r="A4">
        <v>3</v>
      </c>
      <c r="B4" t="s">
        <v>145</v>
      </c>
      <c r="C4" t="s">
        <v>168</v>
      </c>
      <c r="D4" s="1" t="s">
        <v>176</v>
      </c>
      <c r="E4" t="s">
        <v>488</v>
      </c>
      <c r="F4" t="s">
        <v>487</v>
      </c>
      <c r="G4" s="2"/>
      <c r="H4" t="s">
        <v>20</v>
      </c>
      <c r="L4" s="1" t="s">
        <v>335</v>
      </c>
      <c r="M4" t="str">
        <f>IF(Fields[[#This Row],[Reference Entity]]&lt;&gt;"","t" &amp;Fields[[#This Row],[Reference Entity]],"")</f>
        <v>tAccount</v>
      </c>
      <c r="N4" t="str">
        <f>IF(Fields[[#This Row],[Reference Entity]]&lt;&gt;"",RIGHT(Fields[[#This Row],[Column Name]],LEN(Fields[[#This Row],[Column Name]])-2),"")</f>
        <v>AccountReporting</v>
      </c>
      <c r="P4" s="1"/>
      <c r="Q4" t="str">
        <f>Fields[[#This Row],[Column Name]]</f>
        <v>idAccountReporting</v>
      </c>
      <c r="R4"/>
      <c r="S4"/>
      <c r="U4" t="s">
        <v>381</v>
      </c>
      <c r="V4" s="1"/>
    </row>
    <row r="5" spans="1:22" x14ac:dyDescent="0.3">
      <c r="A5">
        <v>4</v>
      </c>
      <c r="B5" t="s">
        <v>145</v>
      </c>
      <c r="C5" t="s">
        <v>283</v>
      </c>
      <c r="D5" s="1" t="s">
        <v>177</v>
      </c>
      <c r="E5" t="s">
        <v>16</v>
      </c>
      <c r="F5" t="s">
        <v>4</v>
      </c>
      <c r="G5" s="2"/>
      <c r="J5" s="4" t="s">
        <v>170</v>
      </c>
      <c r="L5" s="1" t="s">
        <v>382</v>
      </c>
      <c r="M5" t="str">
        <f>IF(Fields[[#This Row],[Reference Entity]]&lt;&gt;"","t" &amp;Fields[[#This Row],[Reference Entity]],"")</f>
        <v/>
      </c>
      <c r="N5" t="str">
        <f>IF(Fields[[#This Row],[Reference Entity]]&lt;&gt;"",RIGHT(Fields[[#This Row],[Column Name]],LEN(Fields[[#This Row],[Column Name]])-2),"")</f>
        <v/>
      </c>
      <c r="P5" s="1"/>
      <c r="Q5" t="s">
        <v>25</v>
      </c>
      <c r="R5" t="s">
        <v>20</v>
      </c>
      <c r="S5"/>
      <c r="V5" s="1"/>
    </row>
    <row r="6" spans="1:22" ht="43.2" x14ac:dyDescent="0.3">
      <c r="A6">
        <v>5</v>
      </c>
      <c r="B6" t="s">
        <v>145</v>
      </c>
      <c r="C6" t="s">
        <v>171</v>
      </c>
      <c r="D6" s="1" t="s">
        <v>846</v>
      </c>
      <c r="E6" t="s">
        <v>124</v>
      </c>
      <c r="F6" t="s">
        <v>233</v>
      </c>
      <c r="G6" s="2"/>
      <c r="I6">
        <v>0</v>
      </c>
      <c r="K6" t="s">
        <v>171</v>
      </c>
      <c r="L6" s="1" t="s">
        <v>382</v>
      </c>
      <c r="M6" t="str">
        <f>IF(Fields[[#This Row],[Reference Entity]]&lt;&gt;"","t" &amp;Fields[[#This Row],[Reference Entity]],"")</f>
        <v/>
      </c>
      <c r="N6" t="str">
        <f>IF(Fields[[#This Row],[Reference Entity]]&lt;&gt;"",RIGHT(Fields[[#This Row],[Column Name]],LEN(Fields[[#This Row],[Column Name]])-2),"")</f>
        <v/>
      </c>
      <c r="P6" s="1"/>
      <c r="R6"/>
      <c r="S6"/>
      <c r="V6" s="1"/>
    </row>
    <row r="7" spans="1:22" x14ac:dyDescent="0.3">
      <c r="A7">
        <v>6</v>
      </c>
      <c r="B7" t="s">
        <v>145</v>
      </c>
      <c r="C7" t="s">
        <v>316</v>
      </c>
      <c r="D7" s="1" t="s">
        <v>178</v>
      </c>
      <c r="E7" t="s">
        <v>19</v>
      </c>
      <c r="F7" t="s">
        <v>239</v>
      </c>
      <c r="G7" s="2">
        <v>255</v>
      </c>
      <c r="L7" s="1" t="s">
        <v>382</v>
      </c>
      <c r="M7" t="str">
        <f>IF(Fields[[#This Row],[Reference Entity]]&lt;&gt;"","t" &amp;Fields[[#This Row],[Reference Entity]],"")</f>
        <v/>
      </c>
      <c r="N7" t="str">
        <f>IF(Fields[[#This Row],[Reference Entity]]&lt;&gt;"",RIGHT(Fields[[#This Row],[Column Name]],LEN(Fields[[#This Row],[Column Name]])-2),"")</f>
        <v/>
      </c>
      <c r="P7" s="1"/>
      <c r="R7"/>
      <c r="S7"/>
      <c r="V7" s="1"/>
    </row>
    <row r="8" spans="1:22" x14ac:dyDescent="0.3">
      <c r="A8">
        <v>7</v>
      </c>
      <c r="B8" t="s">
        <v>145</v>
      </c>
      <c r="C8" t="s">
        <v>314</v>
      </c>
      <c r="D8" s="1" t="s">
        <v>179</v>
      </c>
      <c r="E8" t="s">
        <v>19</v>
      </c>
      <c r="F8" t="s">
        <v>239</v>
      </c>
      <c r="G8" s="2">
        <v>255</v>
      </c>
      <c r="H8" t="s">
        <v>20</v>
      </c>
      <c r="L8" s="1" t="s">
        <v>382</v>
      </c>
      <c r="M8" t="str">
        <f>IF(Fields[[#This Row],[Reference Entity]]&lt;&gt;"","t" &amp;Fields[[#This Row],[Reference Entity]],"")</f>
        <v/>
      </c>
      <c r="N8" t="str">
        <f>IF(Fields[[#This Row],[Reference Entity]]&lt;&gt;"",RIGHT(Fields[[#This Row],[Column Name]],LEN(Fields[[#This Row],[Column Name]])-2),"")</f>
        <v/>
      </c>
      <c r="P8" s="1"/>
      <c r="R8"/>
      <c r="S8"/>
      <c r="V8" s="1"/>
    </row>
    <row r="9" spans="1:22" x14ac:dyDescent="0.3">
      <c r="A9">
        <v>8</v>
      </c>
      <c r="B9" t="s">
        <v>145</v>
      </c>
      <c r="C9" t="s">
        <v>172</v>
      </c>
      <c r="D9" s="1" t="s">
        <v>173</v>
      </c>
      <c r="E9" t="s">
        <v>18</v>
      </c>
      <c r="F9" t="s">
        <v>6</v>
      </c>
      <c r="G9" s="2"/>
      <c r="I9">
        <v>0</v>
      </c>
      <c r="L9" s="1" t="s">
        <v>382</v>
      </c>
      <c r="M9" t="str">
        <f>IF(Fields[[#This Row],[Reference Entity]]&lt;&gt;"","t" &amp;Fields[[#This Row],[Reference Entity]],"")</f>
        <v/>
      </c>
      <c r="N9" t="str">
        <f>IF(Fields[[#This Row],[Reference Entity]]&lt;&gt;"",RIGHT(Fields[[#This Row],[Column Name]],LEN(Fields[[#This Row],[Column Name]])-2),"")</f>
        <v/>
      </c>
      <c r="P9" s="1"/>
      <c r="R9"/>
      <c r="S9"/>
      <c r="V9" s="1"/>
    </row>
    <row r="10" spans="1:22" x14ac:dyDescent="0.3">
      <c r="A10">
        <v>9</v>
      </c>
      <c r="B10" t="s">
        <v>145</v>
      </c>
      <c r="C10" t="s">
        <v>831</v>
      </c>
      <c r="D10" s="1" t="s">
        <v>844</v>
      </c>
      <c r="E10" t="s">
        <v>488</v>
      </c>
      <c r="F10" t="s">
        <v>487</v>
      </c>
      <c r="G10" s="2"/>
      <c r="H10" t="s">
        <v>20</v>
      </c>
      <c r="L10" s="1" t="s">
        <v>817</v>
      </c>
      <c r="M10" t="str">
        <f>IF(Fields[[#This Row],[Reference Entity]]&lt;&gt;"","t" &amp;Fields[[#This Row],[Reference Entity]],"")</f>
        <v>tAccountSection</v>
      </c>
      <c r="N10" t="s">
        <v>817</v>
      </c>
      <c r="P10" s="1"/>
      <c r="R10"/>
      <c r="S10"/>
      <c r="V10" s="1"/>
    </row>
    <row r="11" spans="1:22" x14ac:dyDescent="0.3">
      <c r="A11">
        <v>10</v>
      </c>
      <c r="B11" t="s">
        <v>145</v>
      </c>
      <c r="C11" t="s">
        <v>836</v>
      </c>
      <c r="D11" s="1" t="s">
        <v>845</v>
      </c>
      <c r="E11" t="s">
        <v>488</v>
      </c>
      <c r="F11" t="s">
        <v>487</v>
      </c>
      <c r="G11" s="2"/>
      <c r="H11" t="s">
        <v>20</v>
      </c>
      <c r="L11" s="1" t="s">
        <v>819</v>
      </c>
      <c r="M11" t="str">
        <f>IF(Fields[[#This Row],[Reference Entity]]&lt;&gt;"","t" &amp;Fields[[#This Row],[Reference Entity]],"")</f>
        <v>tAccountMainGroup</v>
      </c>
      <c r="N11" t="s">
        <v>819</v>
      </c>
      <c r="P11" s="1"/>
      <c r="R11"/>
      <c r="S11"/>
      <c r="V11" s="1"/>
    </row>
    <row r="12" spans="1:22" x14ac:dyDescent="0.3">
      <c r="A12">
        <v>1</v>
      </c>
      <c r="B12" t="s">
        <v>165</v>
      </c>
      <c r="C12" t="s">
        <v>5</v>
      </c>
      <c r="D12" s="1" t="s">
        <v>174</v>
      </c>
      <c r="E12" t="s">
        <v>488</v>
      </c>
      <c r="F12" t="s">
        <v>487</v>
      </c>
      <c r="G12" s="2"/>
      <c r="L12" s="1"/>
      <c r="P12" s="1"/>
      <c r="Q12" t="str">
        <f>Fields[[#This Row],[Column Name]]</f>
        <v>idClient</v>
      </c>
      <c r="R12"/>
      <c r="S12"/>
      <c r="V12" s="1"/>
    </row>
    <row r="13" spans="1:22" x14ac:dyDescent="0.3">
      <c r="A13">
        <v>2</v>
      </c>
      <c r="B13" t="s">
        <v>165</v>
      </c>
      <c r="C13" t="s">
        <v>836</v>
      </c>
      <c r="D13" s="1" t="s">
        <v>837</v>
      </c>
      <c r="E13" t="s">
        <v>488</v>
      </c>
      <c r="F13" t="s">
        <v>487</v>
      </c>
      <c r="G13" s="2"/>
      <c r="H13" t="s">
        <v>20</v>
      </c>
      <c r="L13" s="1" t="s">
        <v>819</v>
      </c>
      <c r="M13" t="str">
        <f>IF(Fields[[#This Row],[Reference Entity]]&lt;&gt;"","t" &amp;Fields[[#This Row],[Reference Entity]],"")</f>
        <v>tAccountMainGroup</v>
      </c>
      <c r="N13" t="s">
        <v>819</v>
      </c>
      <c r="O13" t="s">
        <v>142</v>
      </c>
      <c r="P13" s="1"/>
      <c r="R13"/>
      <c r="S13"/>
      <c r="V13" s="1"/>
    </row>
    <row r="14" spans="1:22" x14ac:dyDescent="0.3">
      <c r="A14">
        <v>2</v>
      </c>
      <c r="B14" t="s">
        <v>165</v>
      </c>
      <c r="C14" t="s">
        <v>317</v>
      </c>
      <c r="D14" s="1" t="s">
        <v>178</v>
      </c>
      <c r="E14" t="s">
        <v>19</v>
      </c>
      <c r="F14" t="s">
        <v>239</v>
      </c>
      <c r="G14" s="2">
        <v>255</v>
      </c>
      <c r="J14" s="1"/>
      <c r="L14" s="1" t="s">
        <v>382</v>
      </c>
      <c r="M14" t="str">
        <f>IF(Fields[[#This Row],[Reference Entity]]&lt;&gt;"","t" &amp;Fields[[#This Row],[Reference Entity]],"")</f>
        <v/>
      </c>
      <c r="N14" t="str">
        <f>IF(Fields[[#This Row],[Reference Entity]]&lt;&gt;"",RIGHT(Fields[[#This Row],[Column Name]],LEN(Fields[[#This Row],[Column Name]])-2),"")</f>
        <v/>
      </c>
      <c r="P14" s="1"/>
      <c r="Q14" s="1"/>
      <c r="T14" s="1"/>
      <c r="U14" s="1"/>
    </row>
    <row r="15" spans="1:22" x14ac:dyDescent="0.3">
      <c r="A15">
        <v>3</v>
      </c>
      <c r="B15" t="s">
        <v>165</v>
      </c>
      <c r="C15" t="s">
        <v>315</v>
      </c>
      <c r="D15" s="1" t="s">
        <v>179</v>
      </c>
      <c r="E15" t="s">
        <v>19</v>
      </c>
      <c r="F15" t="s">
        <v>239</v>
      </c>
      <c r="G15" s="2">
        <v>255</v>
      </c>
      <c r="H15" t="s">
        <v>20</v>
      </c>
      <c r="J15" s="1"/>
      <c r="L15" s="1" t="s">
        <v>382</v>
      </c>
      <c r="M15" t="str">
        <f>IF(Fields[[#This Row],[Reference Entity]]&lt;&gt;"","t" &amp;Fields[[#This Row],[Reference Entity]],"")</f>
        <v/>
      </c>
      <c r="N15" t="str">
        <f>IF(Fields[[#This Row],[Reference Entity]]&lt;&gt;"",RIGHT(Fields[[#This Row],[Column Name]],LEN(Fields[[#This Row],[Column Name]])-2),"")</f>
        <v/>
      </c>
      <c r="P15" s="1"/>
      <c r="Q15" s="1"/>
      <c r="T15" s="1"/>
      <c r="U15" s="1"/>
    </row>
    <row r="16" spans="1:22" x14ac:dyDescent="0.3">
      <c r="A16">
        <v>4</v>
      </c>
      <c r="B16" t="s">
        <v>165</v>
      </c>
      <c r="C16" t="s">
        <v>838</v>
      </c>
      <c r="D16" s="1" t="s">
        <v>843</v>
      </c>
      <c r="E16" t="s">
        <v>30</v>
      </c>
      <c r="F16" t="s">
        <v>4</v>
      </c>
      <c r="G16" s="2"/>
      <c r="I16">
        <v>0</v>
      </c>
      <c r="J16" s="1"/>
      <c r="L16" s="1"/>
      <c r="M16" t="str">
        <f>IF(Fields[[#This Row],[Reference Entity]]&lt;&gt;"","t" &amp;Fields[[#This Row],[Reference Entity]],"")</f>
        <v/>
      </c>
      <c r="P16" s="1"/>
      <c r="Q16" s="1"/>
      <c r="T16" s="1"/>
      <c r="U16" s="1"/>
    </row>
    <row r="17" spans="1:22" x14ac:dyDescent="0.3">
      <c r="A17">
        <v>5</v>
      </c>
      <c r="B17" t="s">
        <v>165</v>
      </c>
      <c r="C17" t="s">
        <v>743</v>
      </c>
      <c r="D17" s="1"/>
      <c r="E17" t="s">
        <v>16</v>
      </c>
      <c r="F17" t="s">
        <v>4</v>
      </c>
      <c r="G17" s="2"/>
      <c r="I17">
        <v>0</v>
      </c>
      <c r="J17" s="1"/>
      <c r="L17" s="1"/>
      <c r="M17" t="str">
        <f>IF(Fields[[#This Row],[Reference Entity]]&lt;&gt;"","t" &amp;Fields[[#This Row],[Reference Entity]],"")</f>
        <v/>
      </c>
      <c r="P17" s="1"/>
      <c r="Q17" s="1"/>
      <c r="T17" s="1"/>
      <c r="U17" s="1"/>
    </row>
    <row r="18" spans="1:22" x14ac:dyDescent="0.3">
      <c r="A18">
        <v>6</v>
      </c>
      <c r="B18" t="s">
        <v>165</v>
      </c>
      <c r="C18" t="s">
        <v>744</v>
      </c>
      <c r="D18" s="1"/>
      <c r="E18" t="s">
        <v>16</v>
      </c>
      <c r="F18" t="s">
        <v>4</v>
      </c>
      <c r="G18" s="2"/>
      <c r="I18">
        <v>0</v>
      </c>
      <c r="J18" s="1"/>
      <c r="L18" s="1"/>
      <c r="M18" t="str">
        <f>IF(Fields[[#This Row],[Reference Entity]]&lt;&gt;"","t" &amp;Fields[[#This Row],[Reference Entity]],"")</f>
        <v/>
      </c>
      <c r="P18" s="1"/>
      <c r="Q18" s="1"/>
      <c r="T18" s="1"/>
      <c r="U18" s="1"/>
    </row>
    <row r="19" spans="1:22" ht="43.2" x14ac:dyDescent="0.3">
      <c r="A19">
        <v>7</v>
      </c>
      <c r="B19" t="s">
        <v>165</v>
      </c>
      <c r="C19" t="s">
        <v>745</v>
      </c>
      <c r="D19" s="1" t="s">
        <v>848</v>
      </c>
      <c r="E19" t="s">
        <v>488</v>
      </c>
      <c r="F19" t="s">
        <v>487</v>
      </c>
      <c r="G19" s="2"/>
      <c r="H19" t="s">
        <v>20</v>
      </c>
      <c r="J19" s="1"/>
      <c r="L19" s="1"/>
      <c r="M19" t="str">
        <f>IF(Fields[[#This Row],[Reference Entity]]&lt;&gt;"","t" &amp;Fields[[#This Row],[Reference Entity]],"")</f>
        <v/>
      </c>
      <c r="P19" s="1"/>
      <c r="Q19" s="1"/>
      <c r="T19" s="1"/>
      <c r="U19" s="1"/>
    </row>
    <row r="20" spans="1:22" x14ac:dyDescent="0.3">
      <c r="A20">
        <v>8</v>
      </c>
      <c r="B20" t="s">
        <v>165</v>
      </c>
      <c r="C20" t="s">
        <v>746</v>
      </c>
      <c r="D20" s="9" t="s">
        <v>847</v>
      </c>
      <c r="E20" t="s">
        <v>124</v>
      </c>
      <c r="F20" t="s">
        <v>233</v>
      </c>
      <c r="G20" s="2"/>
      <c r="I20">
        <v>0</v>
      </c>
      <c r="K20" t="s">
        <v>171</v>
      </c>
      <c r="L20" s="1"/>
      <c r="M20" t="str">
        <f>IF(Fields[[#This Row],[Reference Entity]]&lt;&gt;"","t" &amp;Fields[[#This Row],[Reference Entity]],"")</f>
        <v/>
      </c>
      <c r="P20" s="1"/>
      <c r="Q20" s="1"/>
      <c r="T20" s="1"/>
      <c r="U20" s="1"/>
    </row>
    <row r="21" spans="1:22" x14ac:dyDescent="0.3">
      <c r="A21">
        <v>1</v>
      </c>
      <c r="B21" t="s">
        <v>822</v>
      </c>
      <c r="C21" t="s">
        <v>5</v>
      </c>
      <c r="D21" s="1" t="s">
        <v>174</v>
      </c>
      <c r="E21" t="s">
        <v>488</v>
      </c>
      <c r="F21" t="s">
        <v>487</v>
      </c>
      <c r="G21" s="2"/>
      <c r="L21" s="1" t="s">
        <v>147</v>
      </c>
      <c r="M21" t="str">
        <f>IF(Fields[[#This Row],[Reference Entity]]&lt;&gt;"","t" &amp;Fields[[#This Row],[Reference Entity]],"")</f>
        <v>tClient</v>
      </c>
      <c r="N21" t="str">
        <f>IF(Fields[[#This Row],[Reference Entity]]&lt;&gt;"",RIGHT(Fields[[#This Row],[Column Name]],LEN(Fields[[#This Row],[Column Name]])-2),"")</f>
        <v>Client</v>
      </c>
      <c r="O21" t="s">
        <v>142</v>
      </c>
      <c r="P21" s="1"/>
      <c r="Q21" s="1"/>
      <c r="T21" s="1"/>
      <c r="U21" s="1"/>
    </row>
    <row r="22" spans="1:22" x14ac:dyDescent="0.3">
      <c r="A22">
        <v>2</v>
      </c>
      <c r="B22" t="s">
        <v>822</v>
      </c>
      <c r="C22" t="s">
        <v>839</v>
      </c>
      <c r="D22" s="1" t="s">
        <v>823</v>
      </c>
      <c r="E22" t="s">
        <v>19</v>
      </c>
      <c r="F22" t="s">
        <v>239</v>
      </c>
      <c r="G22" s="2">
        <v>255</v>
      </c>
      <c r="K22" s="5"/>
      <c r="L22" s="1"/>
      <c r="M22" t="str">
        <f>IF(Fields[[#This Row],[Reference Entity]]&lt;&gt;"","t" &amp;Fields[[#This Row],[Reference Entity]],"")</f>
        <v/>
      </c>
      <c r="P22" s="1"/>
      <c r="Q22" s="1"/>
      <c r="T22" s="1"/>
      <c r="U22" s="1"/>
    </row>
    <row r="23" spans="1:22" x14ac:dyDescent="0.3">
      <c r="A23">
        <v>3</v>
      </c>
      <c r="B23" t="s">
        <v>822</v>
      </c>
      <c r="C23" t="s">
        <v>840</v>
      </c>
      <c r="D23" s="1" t="s">
        <v>829</v>
      </c>
      <c r="E23" t="s">
        <v>19</v>
      </c>
      <c r="F23" t="s">
        <v>239</v>
      </c>
      <c r="G23" s="2">
        <v>255</v>
      </c>
      <c r="H23" t="s">
        <v>20</v>
      </c>
      <c r="L23" s="1"/>
      <c r="P23" s="1"/>
      <c r="T23" s="1"/>
      <c r="U23" s="1"/>
    </row>
    <row r="24" spans="1:22" ht="28.8" x14ac:dyDescent="0.3">
      <c r="A24">
        <v>4</v>
      </c>
      <c r="B24" t="s">
        <v>822</v>
      </c>
      <c r="C24" t="s">
        <v>171</v>
      </c>
      <c r="D24" s="1" t="s">
        <v>828</v>
      </c>
      <c r="E24" t="s">
        <v>124</v>
      </c>
      <c r="F24" t="s">
        <v>233</v>
      </c>
      <c r="G24" s="2"/>
      <c r="I24">
        <v>0</v>
      </c>
      <c r="K24" t="s">
        <v>171</v>
      </c>
      <c r="L24" s="1"/>
      <c r="M24" t="str">
        <f>IF(Fields[[#This Row],[Reference Entity]]&lt;&gt;"","t" &amp;Fields[[#This Row],[Reference Entity]],"")</f>
        <v/>
      </c>
      <c r="P24" s="1"/>
      <c r="Q24" s="1" t="s">
        <v>824</v>
      </c>
      <c r="R24" s="1" t="s">
        <v>20</v>
      </c>
      <c r="T24" s="1"/>
      <c r="U24" s="1"/>
    </row>
    <row r="25" spans="1:22" ht="28.8" x14ac:dyDescent="0.3">
      <c r="A25">
        <v>5</v>
      </c>
      <c r="B25" t="s">
        <v>822</v>
      </c>
      <c r="C25" t="s">
        <v>824</v>
      </c>
      <c r="D25" s="1" t="s">
        <v>825</v>
      </c>
      <c r="E25" t="s">
        <v>30</v>
      </c>
      <c r="F25" t="s">
        <v>4</v>
      </c>
      <c r="G25" s="2"/>
      <c r="K25" s="5"/>
      <c r="L25" s="1"/>
      <c r="M25" t="str">
        <f>IF(Fields[[#This Row],[Reference Entity]]&lt;&gt;"","t" &amp;Fields[[#This Row],[Reference Entity]],"")</f>
        <v/>
      </c>
      <c r="P25" s="1"/>
      <c r="Q25" s="1" t="s">
        <v>824</v>
      </c>
      <c r="R25" s="1" t="s">
        <v>20</v>
      </c>
      <c r="T25" s="1"/>
      <c r="U25" s="1"/>
    </row>
    <row r="26" spans="1:22" x14ac:dyDescent="0.3">
      <c r="A26">
        <v>1</v>
      </c>
      <c r="B26" t="s">
        <v>830</v>
      </c>
      <c r="C26" t="s">
        <v>5</v>
      </c>
      <c r="D26" s="1" t="s">
        <v>174</v>
      </c>
      <c r="E26" t="s">
        <v>488</v>
      </c>
      <c r="F26" t="s">
        <v>487</v>
      </c>
      <c r="G26" s="2"/>
      <c r="L26" s="1"/>
      <c r="P26" s="1"/>
      <c r="Q26" s="1"/>
      <c r="T26" s="1"/>
      <c r="U26" s="1"/>
    </row>
    <row r="27" spans="1:22" ht="28.8" x14ac:dyDescent="0.3">
      <c r="A27">
        <v>2</v>
      </c>
      <c r="B27" t="s">
        <v>830</v>
      </c>
      <c r="C27" t="s">
        <v>831</v>
      </c>
      <c r="D27" s="1" t="s">
        <v>832</v>
      </c>
      <c r="E27" t="s">
        <v>488</v>
      </c>
      <c r="F27" t="s">
        <v>487</v>
      </c>
      <c r="G27" s="2"/>
      <c r="K27" s="5"/>
      <c r="L27" s="1" t="s">
        <v>817</v>
      </c>
      <c r="M27" t="str">
        <f>IF(Fields[[#This Row],[Reference Entity]]&lt;&gt;"","t" &amp;Fields[[#This Row],[Reference Entity]],"")</f>
        <v>tAccountSection</v>
      </c>
      <c r="N27" t="s">
        <v>817</v>
      </c>
      <c r="O27" t="s">
        <v>142</v>
      </c>
      <c r="P27" s="1"/>
      <c r="Q27" s="1" t="s">
        <v>835</v>
      </c>
      <c r="R27" s="1" t="s">
        <v>20</v>
      </c>
      <c r="T27" s="1"/>
      <c r="U27" s="1"/>
    </row>
    <row r="28" spans="1:22" x14ac:dyDescent="0.3">
      <c r="A28">
        <v>3</v>
      </c>
      <c r="B28" t="s">
        <v>830</v>
      </c>
      <c r="C28" t="s">
        <v>841</v>
      </c>
      <c r="D28" s="1" t="s">
        <v>833</v>
      </c>
      <c r="E28" t="s">
        <v>19</v>
      </c>
      <c r="F28" t="s">
        <v>239</v>
      </c>
      <c r="G28" s="2">
        <v>255</v>
      </c>
      <c r="K28" s="5"/>
      <c r="L28" s="1"/>
      <c r="M28" t="str">
        <f>IF(Fields[[#This Row],[Reference Entity]]&lt;&gt;"","t" &amp;Fields[[#This Row],[Reference Entity]],"")</f>
        <v/>
      </c>
      <c r="P28" s="1"/>
      <c r="Q28" s="1"/>
      <c r="T28" s="1"/>
      <c r="U28" s="1"/>
    </row>
    <row r="29" spans="1:22" x14ac:dyDescent="0.3">
      <c r="A29">
        <v>4</v>
      </c>
      <c r="B29" t="s">
        <v>830</v>
      </c>
      <c r="C29" t="s">
        <v>842</v>
      </c>
      <c r="D29" s="1" t="s">
        <v>834</v>
      </c>
      <c r="E29" t="s">
        <v>19</v>
      </c>
      <c r="F29" t="s">
        <v>239</v>
      </c>
      <c r="G29" s="2">
        <v>255</v>
      </c>
      <c r="H29" t="s">
        <v>20</v>
      </c>
      <c r="K29" s="5"/>
      <c r="L29" s="1"/>
      <c r="M29" t="str">
        <f>IF(Fields[[#This Row],[Reference Entity]]&lt;&gt;"","t" &amp;Fields[[#This Row],[Reference Entity]],"")</f>
        <v/>
      </c>
      <c r="P29" s="1"/>
      <c r="Q29" s="1"/>
      <c r="T29" s="1"/>
      <c r="U29" s="1"/>
    </row>
    <row r="30" spans="1:22" ht="28.8" x14ac:dyDescent="0.3">
      <c r="A30">
        <v>5</v>
      </c>
      <c r="B30" t="s">
        <v>830</v>
      </c>
      <c r="C30" t="s">
        <v>835</v>
      </c>
      <c r="D30" s="1" t="s">
        <v>825</v>
      </c>
      <c r="E30" t="s">
        <v>30</v>
      </c>
      <c r="F30" t="s">
        <v>4</v>
      </c>
      <c r="G30" s="2"/>
      <c r="K30" s="5"/>
      <c r="L30" s="1"/>
      <c r="M30" t="str">
        <f>IF(Fields[[#This Row],[Reference Entity]]&lt;&gt;"","t" &amp;Fields[[#This Row],[Reference Entity]],"")</f>
        <v/>
      </c>
      <c r="P30" s="1"/>
      <c r="Q30" s="1" t="s">
        <v>835</v>
      </c>
      <c r="R30" s="1" t="s">
        <v>20</v>
      </c>
      <c r="T30" s="1"/>
      <c r="U30" s="1"/>
    </row>
    <row r="31" spans="1:22" x14ac:dyDescent="0.3">
      <c r="A31">
        <v>1</v>
      </c>
      <c r="B31" t="s">
        <v>201</v>
      </c>
      <c r="C31" t="s">
        <v>5</v>
      </c>
      <c r="D31" s="1" t="s">
        <v>174</v>
      </c>
      <c r="E31" t="s">
        <v>488</v>
      </c>
      <c r="F31" t="s">
        <v>487</v>
      </c>
      <c r="G31" s="2"/>
      <c r="L31" s="1" t="s">
        <v>147</v>
      </c>
      <c r="M31" t="str">
        <f>IF(Fields[[#This Row],[Reference Entity]]&lt;&gt;"","t" &amp;Fields[[#This Row],[Reference Entity]],"")</f>
        <v>tClient</v>
      </c>
      <c r="N31" t="str">
        <f>IF(Fields[[#This Row],[Reference Entity]]&lt;&gt;"",RIGHT(Fields[[#This Row],[Column Name]],LEN(Fields[[#This Row],[Column Name]])-2),"")</f>
        <v>Client</v>
      </c>
      <c r="O31" t="s">
        <v>142</v>
      </c>
      <c r="P31" s="1"/>
      <c r="Q31" t="str">
        <f>Fields[[#This Row],[Column Name]]</f>
        <v>idClient</v>
      </c>
      <c r="R31"/>
      <c r="S31"/>
      <c r="V31" s="1"/>
    </row>
    <row r="32" spans="1:22" x14ac:dyDescent="0.3">
      <c r="A32">
        <v>2</v>
      </c>
      <c r="B32" t="s">
        <v>201</v>
      </c>
      <c r="C32" t="s">
        <v>284</v>
      </c>
      <c r="D32" s="1" t="s">
        <v>225</v>
      </c>
      <c r="E32" t="s">
        <v>19</v>
      </c>
      <c r="F32" t="s">
        <v>239</v>
      </c>
      <c r="G32" s="2">
        <v>30</v>
      </c>
      <c r="J32" s="1"/>
      <c r="L32" s="1" t="s">
        <v>382</v>
      </c>
      <c r="M32" t="str">
        <f>IF(Fields[[#This Row],[Reference Entity]]&lt;&gt;"","t" &amp;Fields[[#This Row],[Reference Entity]],"")</f>
        <v/>
      </c>
      <c r="N32" t="str">
        <f>IF(Fields[[#This Row],[Reference Entity]]&lt;&gt;"",RIGHT(Fields[[#This Row],[Column Name]],LEN(Fields[[#This Row],[Column Name]])-2),"")</f>
        <v/>
      </c>
      <c r="P32" s="1"/>
      <c r="Q32" s="1"/>
      <c r="T32" s="1"/>
      <c r="U32" s="1"/>
    </row>
    <row r="33" spans="1:22" x14ac:dyDescent="0.3">
      <c r="A33">
        <v>3</v>
      </c>
      <c r="B33" t="s">
        <v>201</v>
      </c>
      <c r="C33" t="s">
        <v>226</v>
      </c>
      <c r="D33" s="1" t="s">
        <v>229</v>
      </c>
      <c r="E33" t="s">
        <v>30</v>
      </c>
      <c r="F33" t="s">
        <v>4</v>
      </c>
      <c r="G33" s="2"/>
      <c r="J33" s="1"/>
      <c r="L33" s="1" t="s">
        <v>382</v>
      </c>
      <c r="M33" t="str">
        <f>IF(Fields[[#This Row],[Reference Entity]]&lt;&gt;"","t" &amp;Fields[[#This Row],[Reference Entity]],"")</f>
        <v/>
      </c>
      <c r="N33" t="str">
        <f>IF(Fields[[#This Row],[Reference Entity]]&lt;&gt;"",RIGHT(Fields[[#This Row],[Column Name]],LEN(Fields[[#This Row],[Column Name]])-2),"")</f>
        <v/>
      </c>
      <c r="P33" s="1"/>
      <c r="Q33" s="1"/>
      <c r="T33" s="1"/>
      <c r="U33" s="1"/>
    </row>
    <row r="34" spans="1:22" x14ac:dyDescent="0.3">
      <c r="A34">
        <v>4</v>
      </c>
      <c r="B34" t="s">
        <v>201</v>
      </c>
      <c r="C34" t="s">
        <v>227</v>
      </c>
      <c r="D34" s="1" t="s">
        <v>230</v>
      </c>
      <c r="E34" t="s">
        <v>124</v>
      </c>
      <c r="F34" t="s">
        <v>233</v>
      </c>
      <c r="G34" s="2"/>
      <c r="J34" s="1"/>
      <c r="L34" s="1" t="s">
        <v>382</v>
      </c>
      <c r="M34" t="str">
        <f>IF(Fields[[#This Row],[Reference Entity]]&lt;&gt;"","t" &amp;Fields[[#This Row],[Reference Entity]],"")</f>
        <v/>
      </c>
      <c r="N34" t="str">
        <f>IF(Fields[[#This Row],[Reference Entity]]&lt;&gt;"",RIGHT(Fields[[#This Row],[Column Name]],LEN(Fields[[#This Row],[Column Name]])-2),"")</f>
        <v/>
      </c>
      <c r="P34" s="1"/>
      <c r="Q34" s="1"/>
      <c r="T34" s="1"/>
      <c r="U34" s="1"/>
    </row>
    <row r="35" spans="1:22" x14ac:dyDescent="0.3">
      <c r="A35">
        <v>5</v>
      </c>
      <c r="B35" t="s">
        <v>201</v>
      </c>
      <c r="C35" t="s">
        <v>228</v>
      </c>
      <c r="D35" s="1" t="s">
        <v>231</v>
      </c>
      <c r="E35" t="s">
        <v>19</v>
      </c>
      <c r="F35" t="s">
        <v>239</v>
      </c>
      <c r="G35" s="2">
        <v>10</v>
      </c>
      <c r="J35" s="1"/>
      <c r="L35" s="1" t="s">
        <v>382</v>
      </c>
      <c r="M35" t="str">
        <f>IF(Fields[[#This Row],[Reference Entity]]&lt;&gt;"","t" &amp;Fields[[#This Row],[Reference Entity]],"")</f>
        <v/>
      </c>
      <c r="N35" t="str">
        <f>IF(Fields[[#This Row],[Reference Entity]]&lt;&gt;"",RIGHT(Fields[[#This Row],[Column Name]],LEN(Fields[[#This Row],[Column Name]])-2),"")</f>
        <v/>
      </c>
      <c r="P35" s="1"/>
      <c r="Q35" s="1"/>
      <c r="T35" s="1"/>
      <c r="U35" s="1"/>
    </row>
    <row r="36" spans="1:22" x14ac:dyDescent="0.3">
      <c r="A36">
        <v>6</v>
      </c>
      <c r="B36" t="s">
        <v>201</v>
      </c>
      <c r="C36" t="s">
        <v>787</v>
      </c>
      <c r="D36" s="1"/>
      <c r="E36" t="s">
        <v>124</v>
      </c>
      <c r="F36" t="s">
        <v>233</v>
      </c>
      <c r="G36" s="2"/>
      <c r="I36">
        <v>0</v>
      </c>
      <c r="J36" s="1"/>
      <c r="L36" s="1"/>
      <c r="M36" t="str">
        <f>IF(Fields[[#This Row],[Reference Entity]]&lt;&gt;"","t" &amp;Fields[[#This Row],[Reference Entity]],"")</f>
        <v/>
      </c>
      <c r="P36" s="1"/>
      <c r="Q36" s="1"/>
      <c r="T36" s="1"/>
      <c r="U36" s="1"/>
    </row>
    <row r="37" spans="1:22" x14ac:dyDescent="0.3">
      <c r="A37">
        <v>7</v>
      </c>
      <c r="B37" t="s">
        <v>201</v>
      </c>
      <c r="C37" t="s">
        <v>788</v>
      </c>
      <c r="D37" s="1"/>
      <c r="E37" t="s">
        <v>18</v>
      </c>
      <c r="F37" t="s">
        <v>6</v>
      </c>
      <c r="G37" s="2"/>
      <c r="I37">
        <v>0</v>
      </c>
      <c r="J37" s="1"/>
      <c r="L37" s="1"/>
      <c r="M37" t="str">
        <f>IF(Fields[[#This Row],[Reference Entity]]&lt;&gt;"","t" &amp;Fields[[#This Row],[Reference Entity]],"")</f>
        <v/>
      </c>
      <c r="P37" s="1"/>
      <c r="Q37" s="1"/>
      <c r="T37" s="1"/>
      <c r="U37" s="1"/>
    </row>
    <row r="38" spans="1:22" x14ac:dyDescent="0.3">
      <c r="A38">
        <v>8</v>
      </c>
      <c r="B38" t="s">
        <v>201</v>
      </c>
      <c r="C38" t="s">
        <v>740</v>
      </c>
      <c r="D38" s="1" t="s">
        <v>741</v>
      </c>
      <c r="E38" t="s">
        <v>19</v>
      </c>
      <c r="F38" t="s">
        <v>239</v>
      </c>
      <c r="G38" s="2">
        <v>100</v>
      </c>
      <c r="H38" t="s">
        <v>20</v>
      </c>
      <c r="J38" s="1"/>
      <c r="L38" s="1"/>
      <c r="M38" t="str">
        <f>IF(Fields[[#This Row],[Reference Entity]]&lt;&gt;"","t" &amp;Fields[[#This Row],[Reference Entity]],"")</f>
        <v/>
      </c>
      <c r="P38" s="1"/>
      <c r="Q38" s="1"/>
      <c r="T38" s="1"/>
      <c r="U38" s="1"/>
    </row>
    <row r="39" spans="1:22" x14ac:dyDescent="0.3">
      <c r="A39">
        <v>9</v>
      </c>
      <c r="B39" t="s">
        <v>201</v>
      </c>
      <c r="C39" t="s">
        <v>735</v>
      </c>
      <c r="D39" s="1" t="s">
        <v>232</v>
      </c>
      <c r="E39" t="s">
        <v>19</v>
      </c>
      <c r="F39" t="s">
        <v>239</v>
      </c>
      <c r="G39" s="2">
        <v>255</v>
      </c>
      <c r="J39" s="1"/>
      <c r="L39" s="1" t="s">
        <v>382</v>
      </c>
      <c r="M39" t="str">
        <f>IF(Fields[[#This Row],[Reference Entity]]&lt;&gt;"","t" &amp;Fields[[#This Row],[Reference Entity]],"")</f>
        <v/>
      </c>
      <c r="N39" t="str">
        <f>IF(Fields[[#This Row],[Reference Entity]]&lt;&gt;"",RIGHT(Fields[[#This Row],[Column Name]],LEN(Fields[[#This Row],[Column Name]])-2),"")</f>
        <v/>
      </c>
      <c r="P39" s="1"/>
      <c r="Q39" s="1"/>
      <c r="T39" s="1"/>
      <c r="U39" s="1"/>
    </row>
    <row r="40" spans="1:22" x14ac:dyDescent="0.3">
      <c r="A40">
        <v>10</v>
      </c>
      <c r="B40" t="s">
        <v>201</v>
      </c>
      <c r="C40" t="s">
        <v>737</v>
      </c>
      <c r="D40" s="1"/>
      <c r="E40" t="s">
        <v>17</v>
      </c>
      <c r="F40" t="s">
        <v>388</v>
      </c>
      <c r="G40" s="2"/>
      <c r="J40" s="1"/>
      <c r="L40" s="1"/>
      <c r="M40" t="str">
        <f>IF(Fields[[#This Row],[Reference Entity]]&lt;&gt;"","t" &amp;Fields[[#This Row],[Reference Entity]],"")</f>
        <v/>
      </c>
      <c r="P40" s="1"/>
      <c r="Q40" s="1"/>
      <c r="T40" s="1"/>
      <c r="U40" s="1"/>
    </row>
    <row r="41" spans="1:22" x14ac:dyDescent="0.3">
      <c r="A41">
        <v>11</v>
      </c>
      <c r="B41" t="s">
        <v>201</v>
      </c>
      <c r="C41" t="s">
        <v>736</v>
      </c>
      <c r="D41" s="1"/>
      <c r="E41" t="s">
        <v>17</v>
      </c>
      <c r="F41" t="s">
        <v>388</v>
      </c>
      <c r="G41" s="2"/>
      <c r="J41" s="1"/>
      <c r="L41" s="1"/>
      <c r="M41" t="str">
        <f>IF(Fields[[#This Row],[Reference Entity]]&lt;&gt;"","t" &amp;Fields[[#This Row],[Reference Entity]],"")</f>
        <v/>
      </c>
      <c r="P41" s="1"/>
      <c r="Q41" s="1"/>
      <c r="T41" s="1"/>
      <c r="U41" s="1"/>
    </row>
    <row r="42" spans="1:22" x14ac:dyDescent="0.3">
      <c r="A42">
        <v>12</v>
      </c>
      <c r="B42" t="s">
        <v>201</v>
      </c>
      <c r="C42" t="s">
        <v>747</v>
      </c>
      <c r="D42" s="1"/>
      <c r="E42" t="s">
        <v>30</v>
      </c>
      <c r="F42" t="s">
        <v>4</v>
      </c>
      <c r="G42" s="2"/>
      <c r="J42" s="1"/>
      <c r="L42" s="1"/>
      <c r="M42" t="str">
        <f>IF(Fields[[#This Row],[Reference Entity]]&lt;&gt;"","t" &amp;Fields[[#This Row],[Reference Entity]],"")</f>
        <v/>
      </c>
      <c r="P42" s="1"/>
      <c r="Q42" s="1"/>
      <c r="T42" s="1"/>
      <c r="U42" s="1"/>
    </row>
    <row r="43" spans="1:22" x14ac:dyDescent="0.3">
      <c r="A43">
        <v>13</v>
      </c>
      <c r="B43" t="s">
        <v>201</v>
      </c>
      <c r="C43" t="s">
        <v>748</v>
      </c>
      <c r="D43" s="1"/>
      <c r="E43" t="s">
        <v>30</v>
      </c>
      <c r="F43" t="s">
        <v>4</v>
      </c>
      <c r="G43" s="2"/>
      <c r="J43" s="1"/>
      <c r="L43" s="1"/>
      <c r="M43" t="str">
        <f>IF(Fields[[#This Row],[Reference Entity]]&lt;&gt;"","t" &amp;Fields[[#This Row],[Reference Entity]],"")</f>
        <v/>
      </c>
      <c r="P43" s="1"/>
      <c r="Q43" s="1"/>
      <c r="T43" s="1"/>
      <c r="U43" s="1"/>
    </row>
    <row r="44" spans="1:22" x14ac:dyDescent="0.3">
      <c r="A44">
        <v>1</v>
      </c>
      <c r="B44" t="s">
        <v>156</v>
      </c>
      <c r="C44" t="s">
        <v>5</v>
      </c>
      <c r="D44" s="1" t="s">
        <v>174</v>
      </c>
      <c r="E44" t="s">
        <v>488</v>
      </c>
      <c r="F44" t="s">
        <v>487</v>
      </c>
      <c r="G44" s="2"/>
      <c r="L44" s="1" t="s">
        <v>147</v>
      </c>
      <c r="M44" t="str">
        <f>IF(Fields[[#This Row],[Reference Entity]]&lt;&gt;"","t" &amp;Fields[[#This Row],[Reference Entity]],"")</f>
        <v>tClient</v>
      </c>
      <c r="N44" t="str">
        <f>IF(Fields[[#This Row],[Reference Entity]]&lt;&gt;"",RIGHT(Fields[[#This Row],[Column Name]],LEN(Fields[[#This Row],[Column Name]])-2),"")</f>
        <v>Client</v>
      </c>
      <c r="P44" s="1"/>
      <c r="Q44" t="str">
        <f>Fields[[#This Row],[Column Name]]</f>
        <v>idClient</v>
      </c>
      <c r="R44"/>
      <c r="S44"/>
      <c r="V44" s="1"/>
    </row>
    <row r="45" spans="1:22" x14ac:dyDescent="0.3">
      <c r="A45">
        <v>2</v>
      </c>
      <c r="B45" t="s">
        <v>156</v>
      </c>
      <c r="C45" t="s">
        <v>275</v>
      </c>
      <c r="D45" s="1" t="s">
        <v>276</v>
      </c>
      <c r="E45" t="s">
        <v>18</v>
      </c>
      <c r="F45" t="s">
        <v>6</v>
      </c>
      <c r="G45" s="2"/>
      <c r="I45">
        <v>0</v>
      </c>
      <c r="L45" s="1" t="s">
        <v>382</v>
      </c>
      <c r="M45" t="str">
        <f>IF(Fields[[#This Row],[Reference Entity]]&lt;&gt;"","t" &amp;Fields[[#This Row],[Reference Entity]],"")</f>
        <v/>
      </c>
      <c r="N45" t="str">
        <f>IF(Fields[[#This Row],[Reference Entity]]&lt;&gt;"",RIGHT(Fields[[#This Row],[Column Name]],LEN(Fields[[#This Row],[Column Name]])-2),"")</f>
        <v/>
      </c>
      <c r="P45" s="1"/>
      <c r="R45"/>
      <c r="S45"/>
      <c r="V45" s="1"/>
    </row>
    <row r="46" spans="1:22" x14ac:dyDescent="0.3">
      <c r="A46">
        <v>3</v>
      </c>
      <c r="B46" t="s">
        <v>156</v>
      </c>
      <c r="C46" t="s">
        <v>277</v>
      </c>
      <c r="D46" s="1" t="s">
        <v>278</v>
      </c>
      <c r="E46" t="s">
        <v>17</v>
      </c>
      <c r="F46" t="s">
        <v>388</v>
      </c>
      <c r="G46" s="2"/>
      <c r="H46" t="s">
        <v>20</v>
      </c>
      <c r="L46" s="1" t="s">
        <v>382</v>
      </c>
      <c r="M46" t="str">
        <f>IF(Fields[[#This Row],[Reference Entity]]&lt;&gt;"","t" &amp;Fields[[#This Row],[Reference Entity]],"")</f>
        <v/>
      </c>
      <c r="N46" t="str">
        <f>IF(Fields[[#This Row],[Reference Entity]]&lt;&gt;"",RIGHT(Fields[[#This Row],[Column Name]],LEN(Fields[[#This Row],[Column Name]])-2),"")</f>
        <v/>
      </c>
      <c r="P46" s="1"/>
      <c r="R46"/>
      <c r="S46"/>
      <c r="V46" s="1"/>
    </row>
    <row r="47" spans="1:22" ht="28.8" x14ac:dyDescent="0.3">
      <c r="A47">
        <v>4</v>
      </c>
      <c r="B47" t="s">
        <v>156</v>
      </c>
      <c r="C47" t="s">
        <v>318</v>
      </c>
      <c r="D47" s="1" t="s">
        <v>203</v>
      </c>
      <c r="E47" t="s">
        <v>124</v>
      </c>
      <c r="F47" t="s">
        <v>233</v>
      </c>
      <c r="G47" s="2"/>
      <c r="I47">
        <v>0</v>
      </c>
      <c r="J47" s="1"/>
      <c r="K47" s="1" t="s">
        <v>318</v>
      </c>
      <c r="L47" s="1" t="s">
        <v>382</v>
      </c>
      <c r="M47" t="str">
        <f>IF(Fields[[#This Row],[Reference Entity]]&lt;&gt;"","t" &amp;Fields[[#This Row],[Reference Entity]],"")</f>
        <v/>
      </c>
      <c r="N47" t="str">
        <f>IF(Fields[[#This Row],[Reference Entity]]&lt;&gt;"",RIGHT(Fields[[#This Row],[Column Name]],LEN(Fields[[#This Row],[Column Name]])-2),"")</f>
        <v/>
      </c>
      <c r="P47" s="1"/>
      <c r="Q47" s="1"/>
      <c r="T47" s="1"/>
      <c r="U47" s="1"/>
    </row>
    <row r="48" spans="1:22" ht="28.8" x14ac:dyDescent="0.3">
      <c r="A48">
        <v>5</v>
      </c>
      <c r="B48" t="s">
        <v>156</v>
      </c>
      <c r="C48" t="s">
        <v>815</v>
      </c>
      <c r="D48" s="1" t="s">
        <v>816</v>
      </c>
      <c r="E48" t="s">
        <v>18</v>
      </c>
      <c r="F48" t="s">
        <v>6</v>
      </c>
      <c r="G48" s="2"/>
      <c r="I48">
        <v>0</v>
      </c>
      <c r="J48" s="1"/>
      <c r="K48" s="5"/>
      <c r="L48" s="1"/>
      <c r="M48" t="str">
        <f>IF(Fields[[#This Row],[Reference Entity]]&lt;&gt;"","t" &amp;Fields[[#This Row],[Reference Entity]],"")</f>
        <v/>
      </c>
      <c r="P48" s="1"/>
      <c r="Q48" s="1"/>
      <c r="T48" s="1"/>
      <c r="U48" s="1"/>
    </row>
    <row r="49" spans="1:21" x14ac:dyDescent="0.3">
      <c r="A49">
        <v>6</v>
      </c>
      <c r="B49" t="s">
        <v>156</v>
      </c>
      <c r="C49" t="s">
        <v>193</v>
      </c>
      <c r="D49" s="1" t="s">
        <v>204</v>
      </c>
      <c r="E49" t="s">
        <v>488</v>
      </c>
      <c r="F49" t="s">
        <v>487</v>
      </c>
      <c r="G49" s="2"/>
      <c r="J49" s="1"/>
      <c r="L49" s="1" t="s">
        <v>335</v>
      </c>
      <c r="M49" t="str">
        <f>IF(Fields[[#This Row],[Reference Entity]]&lt;&gt;"","t" &amp;Fields[[#This Row],[Reference Entity]],"")</f>
        <v>tAccount</v>
      </c>
      <c r="N49" t="str">
        <f>IF(Fields[[#This Row],[Reference Entity]]&lt;&gt;"",RIGHT(Fields[[#This Row],[Column Name]],LEN(Fields[[#This Row],[Column Name]])-2),"")</f>
        <v>AccountDebit</v>
      </c>
      <c r="P49" s="1"/>
      <c r="Q49" t="str">
        <f>Fields[[#This Row],[Column Name]]</f>
        <v>idAccountDebit</v>
      </c>
      <c r="S49"/>
      <c r="U49" t="s">
        <v>379</v>
      </c>
    </row>
    <row r="50" spans="1:21" x14ac:dyDescent="0.3">
      <c r="A50">
        <v>7</v>
      </c>
      <c r="B50" t="s">
        <v>156</v>
      </c>
      <c r="C50" t="s">
        <v>194</v>
      </c>
      <c r="D50" s="1" t="s">
        <v>205</v>
      </c>
      <c r="E50" t="s">
        <v>488</v>
      </c>
      <c r="F50" t="s">
        <v>487</v>
      </c>
      <c r="G50" s="2"/>
      <c r="J50" s="1"/>
      <c r="L50" s="1" t="s">
        <v>335</v>
      </c>
      <c r="M50" t="str">
        <f>IF(Fields[[#This Row],[Reference Entity]]&lt;&gt;"","t" &amp;Fields[[#This Row],[Reference Entity]],"")</f>
        <v>tAccount</v>
      </c>
      <c r="N50" t="str">
        <f>IF(Fields[[#This Row],[Reference Entity]]&lt;&gt;"",RIGHT(Fields[[#This Row],[Column Name]],LEN(Fields[[#This Row],[Column Name]])-2),"")</f>
        <v>AccountCredit</v>
      </c>
      <c r="P50" s="1"/>
      <c r="Q50" t="str">
        <f>Fields[[#This Row],[Column Name]]</f>
        <v>idAccountCredit</v>
      </c>
      <c r="S50"/>
      <c r="U50" t="s">
        <v>380</v>
      </c>
    </row>
    <row r="51" spans="1:21" x14ac:dyDescent="0.3">
      <c r="A51">
        <v>8</v>
      </c>
      <c r="B51" t="s">
        <v>156</v>
      </c>
      <c r="C51" t="s">
        <v>296</v>
      </c>
      <c r="D51" s="1" t="s">
        <v>206</v>
      </c>
      <c r="E51" t="s">
        <v>488</v>
      </c>
      <c r="F51" t="s">
        <v>487</v>
      </c>
      <c r="G51" s="2"/>
      <c r="H51" t="s">
        <v>20</v>
      </c>
      <c r="J51" s="1"/>
      <c r="L51" s="1" t="s">
        <v>337</v>
      </c>
      <c r="M51" t="str">
        <f>IF(Fields[[#This Row],[Reference Entity]]&lt;&gt;"","t" &amp;Fields[[#This Row],[Reference Entity]],"")</f>
        <v>tCostCenter</v>
      </c>
      <c r="N51" t="str">
        <f>IF(Fields[[#This Row],[Reference Entity]]&lt;&gt;"",RIGHT(Fields[[#This Row],[Column Name]],LEN(Fields[[#This Row],[Column Name]])-2),"")</f>
        <v>CostCenterBookRecord</v>
      </c>
      <c r="P51" s="1"/>
      <c r="Q51" t="str">
        <f>Fields[[#This Row],[Column Name]]</f>
        <v>idCostCenterBookRecord</v>
      </c>
      <c r="S51"/>
    </row>
    <row r="52" spans="1:21" x14ac:dyDescent="0.3">
      <c r="A52">
        <v>9</v>
      </c>
      <c r="B52" t="s">
        <v>156</v>
      </c>
      <c r="C52" t="s">
        <v>195</v>
      </c>
      <c r="D52" s="1" t="s">
        <v>207</v>
      </c>
      <c r="E52" t="s">
        <v>488</v>
      </c>
      <c r="F52" t="s">
        <v>487</v>
      </c>
      <c r="G52" s="2"/>
      <c r="H52" t="s">
        <v>20</v>
      </c>
      <c r="J52" s="1"/>
      <c r="L52" s="1" t="s">
        <v>341</v>
      </c>
      <c r="M52" t="str">
        <f>IF(Fields[[#This Row],[Reference Entity]]&lt;&gt;"","t" &amp;Fields[[#This Row],[Reference Entity]],"")</f>
        <v>tBookingRun</v>
      </c>
      <c r="N52" t="str">
        <f>IF(Fields[[#This Row],[Reference Entity]]&lt;&gt;"",RIGHT(Fields[[#This Row],[Column Name]],LEN(Fields[[#This Row],[Column Name]])-2),"")</f>
        <v>BookingRun</v>
      </c>
      <c r="O52" t="s">
        <v>142</v>
      </c>
      <c r="P52" s="1"/>
      <c r="Q52" t="str">
        <f>Fields[[#This Row],[Column Name]]</f>
        <v>idBookingRun</v>
      </c>
      <c r="S52"/>
    </row>
    <row r="53" spans="1:21" x14ac:dyDescent="0.3">
      <c r="A53">
        <v>10</v>
      </c>
      <c r="B53" t="s">
        <v>156</v>
      </c>
      <c r="C53" t="s">
        <v>284</v>
      </c>
      <c r="D53" s="1" t="s">
        <v>225</v>
      </c>
      <c r="E53" t="s">
        <v>19</v>
      </c>
      <c r="F53" t="s">
        <v>239</v>
      </c>
      <c r="G53" s="2">
        <v>30</v>
      </c>
      <c r="H53" t="s">
        <v>20</v>
      </c>
      <c r="J53" s="1"/>
      <c r="L53" s="1"/>
      <c r="M53" t="str">
        <f>IF(Fields[[#This Row],[Reference Entity]]&lt;&gt;"","t" &amp;Fields[[#This Row],[Reference Entity]],"")</f>
        <v/>
      </c>
      <c r="N53" t="str">
        <f>IF(Fields[[#This Row],[Reference Entity]]&lt;&gt;"",RIGHT(Fields[[#This Row],[Column Name]],LEN(Fields[[#This Row],[Column Name]])-2),"")</f>
        <v/>
      </c>
      <c r="P53" s="1"/>
      <c r="S53"/>
    </row>
    <row r="54" spans="1:21" x14ac:dyDescent="0.3">
      <c r="A54">
        <v>11</v>
      </c>
      <c r="B54" t="s">
        <v>156</v>
      </c>
      <c r="C54" t="s">
        <v>196</v>
      </c>
      <c r="D54" s="1" t="s">
        <v>208</v>
      </c>
      <c r="E54" t="s">
        <v>16</v>
      </c>
      <c r="F54" t="s">
        <v>4</v>
      </c>
      <c r="G54" s="2"/>
      <c r="H54" t="s">
        <v>20</v>
      </c>
      <c r="J54" s="1"/>
      <c r="L54" s="1" t="s">
        <v>382</v>
      </c>
      <c r="M54" t="str">
        <f>IF(Fields[[#This Row],[Reference Entity]]&lt;&gt;"","t" &amp;Fields[[#This Row],[Reference Entity]],"")</f>
        <v/>
      </c>
      <c r="N54" t="str">
        <f>IF(Fields[[#This Row],[Reference Entity]]&lt;&gt;"",RIGHT(Fields[[#This Row],[Column Name]],LEN(Fields[[#This Row],[Column Name]])-2),"")</f>
        <v/>
      </c>
      <c r="P54" s="1"/>
      <c r="Q54" s="1"/>
      <c r="T54" s="1"/>
      <c r="U54" s="1"/>
    </row>
    <row r="55" spans="1:21" x14ac:dyDescent="0.3">
      <c r="A55">
        <v>12</v>
      </c>
      <c r="B55" t="s">
        <v>156</v>
      </c>
      <c r="C55" t="s">
        <v>789</v>
      </c>
      <c r="D55" s="1"/>
      <c r="E55" t="s">
        <v>16</v>
      </c>
      <c r="F55" t="s">
        <v>4</v>
      </c>
      <c r="G55" s="2"/>
      <c r="J55" s="1"/>
      <c r="K55"/>
      <c r="L55" s="1"/>
      <c r="M55" t="str">
        <f>IF(Fields[[#This Row],[Reference Entity]]&lt;&gt;"","t" &amp;Fields[[#This Row],[Reference Entity]],"")</f>
        <v/>
      </c>
      <c r="N55" t="str">
        <f>IF(Fields[[#This Row],[Reference Entity]]&lt;&gt;"",RIGHT(Fields[[#This Row],[Column Name]],LEN(Fields[[#This Row],[Column Name]])-2),"")</f>
        <v/>
      </c>
      <c r="P55" s="1"/>
      <c r="Q55" s="1"/>
      <c r="R55"/>
      <c r="S55"/>
      <c r="T55" s="1"/>
      <c r="U55" s="1"/>
    </row>
    <row r="56" spans="1:21" x14ac:dyDescent="0.3">
      <c r="A56">
        <v>13</v>
      </c>
      <c r="B56" t="s">
        <v>156</v>
      </c>
      <c r="C56" t="s">
        <v>790</v>
      </c>
      <c r="D56" s="1"/>
      <c r="E56" t="s">
        <v>16</v>
      </c>
      <c r="F56" t="s">
        <v>4</v>
      </c>
      <c r="G56" s="2"/>
      <c r="J56" s="1"/>
      <c r="K56"/>
      <c r="L56" s="1"/>
      <c r="M56" t="str">
        <f>IF(Fields[[#This Row],[Reference Entity]]&lt;&gt;"","t" &amp;Fields[[#This Row],[Reference Entity]],"")</f>
        <v/>
      </c>
      <c r="N56" t="str">
        <f>IF(Fields[[#This Row],[Reference Entity]]&lt;&gt;"",RIGHT(Fields[[#This Row],[Column Name]],LEN(Fields[[#This Row],[Column Name]])-2),"")</f>
        <v/>
      </c>
      <c r="P56" s="1"/>
      <c r="Q56" s="1"/>
      <c r="R56"/>
      <c r="S56"/>
      <c r="T56" s="1"/>
      <c r="U56" s="1"/>
    </row>
    <row r="57" spans="1:21" x14ac:dyDescent="0.3">
      <c r="A57">
        <v>14</v>
      </c>
      <c r="B57" t="s">
        <v>156</v>
      </c>
      <c r="C57" t="s">
        <v>794</v>
      </c>
      <c r="D57" s="1"/>
      <c r="E57" t="s">
        <v>795</v>
      </c>
      <c r="F57" t="s">
        <v>233</v>
      </c>
      <c r="G57" s="2"/>
      <c r="J57" s="1"/>
      <c r="K57"/>
      <c r="L57" s="1"/>
      <c r="M57" t="str">
        <f>IF(Fields[[#This Row],[Reference Entity]]&lt;&gt;"","t" &amp;Fields[[#This Row],[Reference Entity]],"")</f>
        <v/>
      </c>
      <c r="N57" t="str">
        <f>IF(Fields[[#This Row],[Reference Entity]]&lt;&gt;"",RIGHT(Fields[[#This Row],[Column Name]],LEN(Fields[[#This Row],[Column Name]])-2),"")</f>
        <v/>
      </c>
      <c r="P57" s="1"/>
      <c r="Q57" s="1"/>
      <c r="R57"/>
      <c r="S57"/>
      <c r="T57" s="1"/>
      <c r="U57" s="1"/>
    </row>
    <row r="58" spans="1:21" x14ac:dyDescent="0.3">
      <c r="A58">
        <v>15</v>
      </c>
      <c r="B58" t="s">
        <v>156</v>
      </c>
      <c r="C58" t="s">
        <v>197</v>
      </c>
      <c r="D58" s="1" t="s">
        <v>209</v>
      </c>
      <c r="E58" t="s">
        <v>488</v>
      </c>
      <c r="F58" t="s">
        <v>487</v>
      </c>
      <c r="G58" s="2"/>
      <c r="H58" t="s">
        <v>20</v>
      </c>
      <c r="J58" s="1"/>
      <c r="L58" s="1" t="s">
        <v>346</v>
      </c>
      <c r="M58" t="str">
        <f>IF(Fields[[#This Row],[Reference Entity]]&lt;&gt;"","t" &amp;Fields[[#This Row],[Reference Entity]],"")</f>
        <v>tPlanElementInstance</v>
      </c>
      <c r="N58" t="str">
        <f>IF(Fields[[#This Row],[Reference Entity]]&lt;&gt;"",RIGHT(Fields[[#This Row],[Column Name]],LEN(Fields[[#This Row],[Column Name]])-2),"")</f>
        <v>PlanElementInstance</v>
      </c>
      <c r="P58" s="1"/>
      <c r="Q58" t="str">
        <f>Fields[[#This Row],[Column Name]]</f>
        <v>idPlanElementInstance</v>
      </c>
      <c r="S58"/>
    </row>
    <row r="59" spans="1:21" x14ac:dyDescent="0.3">
      <c r="A59">
        <v>16</v>
      </c>
      <c r="B59" t="s">
        <v>156</v>
      </c>
      <c r="C59" t="s">
        <v>302</v>
      </c>
      <c r="D59" s="1" t="s">
        <v>210</v>
      </c>
      <c r="E59" t="s">
        <v>19</v>
      </c>
      <c r="F59" t="s">
        <v>239</v>
      </c>
      <c r="G59" s="2">
        <v>255</v>
      </c>
      <c r="H59" t="s">
        <v>20</v>
      </c>
      <c r="J59" s="1"/>
      <c r="L59" s="1" t="s">
        <v>382</v>
      </c>
      <c r="M59" t="str">
        <f>IF(Fields[[#This Row],[Reference Entity]]&lt;&gt;"","t" &amp;Fields[[#This Row],[Reference Entity]],"")</f>
        <v/>
      </c>
      <c r="N59" t="str">
        <f>IF(Fields[[#This Row],[Reference Entity]]&lt;&gt;"",RIGHT(Fields[[#This Row],[Column Name]],LEN(Fields[[#This Row],[Column Name]])-2),"")</f>
        <v/>
      </c>
      <c r="P59" s="1"/>
      <c r="Q59" s="1"/>
      <c r="T59" s="1"/>
      <c r="U59" s="1"/>
    </row>
    <row r="60" spans="1:21" x14ac:dyDescent="0.3">
      <c r="A60">
        <v>17</v>
      </c>
      <c r="B60" t="s">
        <v>156</v>
      </c>
      <c r="C60" t="s">
        <v>291</v>
      </c>
      <c r="D60" s="1" t="s">
        <v>211</v>
      </c>
      <c r="E60" t="s">
        <v>17</v>
      </c>
      <c r="F60" t="s">
        <v>388</v>
      </c>
      <c r="G60" s="2"/>
      <c r="J60" s="1"/>
      <c r="L60" s="1" t="s">
        <v>382</v>
      </c>
      <c r="M60" t="str">
        <f>IF(Fields[[#This Row],[Reference Entity]]&lt;&gt;"","t" &amp;Fields[[#This Row],[Reference Entity]],"")</f>
        <v/>
      </c>
      <c r="N60" t="str">
        <f>IF(Fields[[#This Row],[Reference Entity]]&lt;&gt;"",RIGHT(Fields[[#This Row],[Column Name]],LEN(Fields[[#This Row],[Column Name]])-2),"")</f>
        <v/>
      </c>
      <c r="P60" s="1"/>
      <c r="Q60" s="1"/>
      <c r="T60" s="1"/>
      <c r="U60" s="1"/>
    </row>
    <row r="61" spans="1:21" x14ac:dyDescent="0.3">
      <c r="A61">
        <v>18</v>
      </c>
      <c r="B61" t="s">
        <v>156</v>
      </c>
      <c r="C61" t="s">
        <v>198</v>
      </c>
      <c r="D61" s="1" t="s">
        <v>212</v>
      </c>
      <c r="E61" t="s">
        <v>60</v>
      </c>
      <c r="F61" t="s">
        <v>234</v>
      </c>
      <c r="G61" s="2"/>
      <c r="J61" s="1"/>
      <c r="L61" s="1" t="s">
        <v>382</v>
      </c>
      <c r="M61" t="str">
        <f>IF(Fields[[#This Row],[Reference Entity]]&lt;&gt;"","t" &amp;Fields[[#This Row],[Reference Entity]],"")</f>
        <v/>
      </c>
      <c r="N61" t="str">
        <f>IF(Fields[[#This Row],[Reference Entity]]&lt;&gt;"",RIGHT(Fields[[#This Row],[Column Name]],LEN(Fields[[#This Row],[Column Name]])-2),"")</f>
        <v/>
      </c>
      <c r="P61" s="1"/>
      <c r="Q61" s="1"/>
      <c r="T61" s="1"/>
      <c r="U61" s="1"/>
    </row>
    <row r="62" spans="1:21" x14ac:dyDescent="0.3">
      <c r="A62">
        <v>19</v>
      </c>
      <c r="B62" t="s">
        <v>156</v>
      </c>
      <c r="C62" t="s">
        <v>742</v>
      </c>
      <c r="D62" s="1" t="s">
        <v>213</v>
      </c>
      <c r="E62" t="s">
        <v>19</v>
      </c>
      <c r="F62" t="s">
        <v>239</v>
      </c>
      <c r="G62" s="2">
        <v>50</v>
      </c>
      <c r="H62" t="s">
        <v>20</v>
      </c>
      <c r="J62" s="1"/>
      <c r="L62" s="1" t="s">
        <v>382</v>
      </c>
      <c r="M62" t="str">
        <f>IF(Fields[[#This Row],[Reference Entity]]&lt;&gt;"","t" &amp;Fields[[#This Row],[Reference Entity]],"")</f>
        <v/>
      </c>
      <c r="N62" t="str">
        <f>IF(Fields[[#This Row],[Reference Entity]]&lt;&gt;"",RIGHT(Fields[[#This Row],[Column Name]],LEN(Fields[[#This Row],[Column Name]])-2),"")</f>
        <v/>
      </c>
      <c r="P62" s="1"/>
      <c r="Q62" s="1"/>
      <c r="T62" s="1"/>
      <c r="U62" s="1"/>
    </row>
    <row r="63" spans="1:21" ht="57.6" x14ac:dyDescent="0.3">
      <c r="A63">
        <v>20</v>
      </c>
      <c r="B63" t="s">
        <v>156</v>
      </c>
      <c r="C63" t="s">
        <v>300</v>
      </c>
      <c r="D63" s="1" t="s">
        <v>37</v>
      </c>
      <c r="E63" t="s">
        <v>19</v>
      </c>
      <c r="F63" t="s">
        <v>239</v>
      </c>
      <c r="G63" s="2">
        <v>15</v>
      </c>
      <c r="H63" t="s">
        <v>20</v>
      </c>
      <c r="L63" s="1" t="s">
        <v>382</v>
      </c>
      <c r="M63" t="str">
        <f>IF(Fields[[#This Row],[Reference Entity]]&lt;&gt;"","t" &amp;Fields[[#This Row],[Reference Entity]],"")</f>
        <v/>
      </c>
      <c r="N63" t="str">
        <f>IF(Fields[[#This Row],[Reference Entity]]&lt;&gt;"",RIGHT(Fields[[#This Row],[Column Name]],LEN(Fields[[#This Row],[Column Name]])-2),"")</f>
        <v/>
      </c>
      <c r="P63" s="1"/>
      <c r="Q63" t="str">
        <f>Fields[[#This Row],[Column Name]]</f>
        <v>ReferenceIDBookRecord</v>
      </c>
      <c r="R63"/>
      <c r="S63"/>
    </row>
    <row r="64" spans="1:21" x14ac:dyDescent="0.3">
      <c r="A64">
        <v>21</v>
      </c>
      <c r="B64" t="s">
        <v>156</v>
      </c>
      <c r="C64" t="s">
        <v>289</v>
      </c>
      <c r="D64" s="1" t="s">
        <v>214</v>
      </c>
      <c r="E64" t="s">
        <v>45</v>
      </c>
      <c r="F64" t="s">
        <v>239</v>
      </c>
      <c r="G64" s="2" t="s">
        <v>238</v>
      </c>
      <c r="H64" t="s">
        <v>20</v>
      </c>
      <c r="J64" s="1"/>
      <c r="L64" s="1" t="s">
        <v>382</v>
      </c>
      <c r="M64" t="str">
        <f>IF(Fields[[#This Row],[Reference Entity]]&lt;&gt;"","t" &amp;Fields[[#This Row],[Reference Entity]],"")</f>
        <v/>
      </c>
      <c r="N64" t="str">
        <f>IF(Fields[[#This Row],[Reference Entity]]&lt;&gt;"",RIGHT(Fields[[#This Row],[Column Name]],LEN(Fields[[#This Row],[Column Name]])-2),"")</f>
        <v/>
      </c>
      <c r="P64" s="1"/>
      <c r="Q64" s="1"/>
      <c r="T64" s="1"/>
      <c r="U64" s="1"/>
    </row>
    <row r="65" spans="1:21" ht="28.8" x14ac:dyDescent="0.3">
      <c r="A65">
        <v>22</v>
      </c>
      <c r="B65" t="s">
        <v>156</v>
      </c>
      <c r="C65" t="s">
        <v>892</v>
      </c>
      <c r="D65" s="1" t="s">
        <v>893</v>
      </c>
      <c r="E65" t="s">
        <v>16</v>
      </c>
      <c r="F65" t="s">
        <v>4</v>
      </c>
      <c r="G65" s="2"/>
      <c r="H65" t="s">
        <v>20</v>
      </c>
      <c r="J65" s="1"/>
      <c r="L65" s="1"/>
      <c r="M65" t="str">
        <f>IF(Fields[[#This Row],[Reference Entity]]&lt;&gt;"","t" &amp;Fields[[#This Row],[Reference Entity]],"")</f>
        <v/>
      </c>
      <c r="P65" s="1"/>
      <c r="Q65" s="1"/>
      <c r="T65" s="1"/>
      <c r="U65" s="1"/>
    </row>
    <row r="66" spans="1:21" x14ac:dyDescent="0.3">
      <c r="A66">
        <v>23</v>
      </c>
      <c r="B66" t="s">
        <v>156</v>
      </c>
      <c r="C66" t="s">
        <v>894</v>
      </c>
      <c r="D66" s="1" t="s">
        <v>896</v>
      </c>
      <c r="E66" t="s">
        <v>897</v>
      </c>
      <c r="F66" t="s">
        <v>388</v>
      </c>
      <c r="G66" s="2"/>
      <c r="H66" t="s">
        <v>20</v>
      </c>
      <c r="J66" s="1"/>
      <c r="L66" s="1"/>
      <c r="M66" t="str">
        <f>IF(Fields[[#This Row],[Reference Entity]]&lt;&gt;"","t" &amp;Fields[[#This Row],[Reference Entity]],"")</f>
        <v/>
      </c>
      <c r="P66" s="1"/>
      <c r="Q66" s="1"/>
      <c r="T66" s="1"/>
      <c r="U66" s="1"/>
    </row>
    <row r="67" spans="1:21" x14ac:dyDescent="0.3">
      <c r="A67">
        <v>24</v>
      </c>
      <c r="B67" t="s">
        <v>156</v>
      </c>
      <c r="C67" t="s">
        <v>895</v>
      </c>
      <c r="D67" s="1" t="s">
        <v>896</v>
      </c>
      <c r="E67" t="s">
        <v>897</v>
      </c>
      <c r="F67" t="s">
        <v>388</v>
      </c>
      <c r="G67" s="2"/>
      <c r="H67" t="s">
        <v>20</v>
      </c>
      <c r="J67" s="1"/>
      <c r="L67" s="1"/>
      <c r="M67" t="str">
        <f>IF(Fields[[#This Row],[Reference Entity]]&lt;&gt;"","t" &amp;Fields[[#This Row],[Reference Entity]],"")</f>
        <v/>
      </c>
      <c r="P67" s="1"/>
      <c r="Q67" s="1"/>
      <c r="T67" s="1"/>
      <c r="U67" s="1"/>
    </row>
    <row r="68" spans="1:21" ht="43.2" x14ac:dyDescent="0.3">
      <c r="A68">
        <v>25</v>
      </c>
      <c r="B68" t="s">
        <v>156</v>
      </c>
      <c r="C68" t="s">
        <v>898</v>
      </c>
      <c r="D68" s="1" t="s">
        <v>899</v>
      </c>
      <c r="E68" t="s">
        <v>16</v>
      </c>
      <c r="F68" t="s">
        <v>4</v>
      </c>
      <c r="G68" s="2"/>
      <c r="H68" t="s">
        <v>20</v>
      </c>
      <c r="J68" s="1"/>
      <c r="L68" s="1"/>
      <c r="M68" t="str">
        <f>IF(Fields[[#This Row],[Reference Entity]]&lt;&gt;"","t" &amp;Fields[[#This Row],[Reference Entity]],"")</f>
        <v/>
      </c>
      <c r="P68" s="1"/>
      <c r="Q68" s="1"/>
      <c r="T68" s="1"/>
      <c r="U68" s="1"/>
    </row>
    <row r="69" spans="1:21" x14ac:dyDescent="0.3">
      <c r="A69">
        <v>26</v>
      </c>
      <c r="B69" t="s">
        <v>156</v>
      </c>
      <c r="C69" t="s">
        <v>909</v>
      </c>
      <c r="D69" s="1" t="s">
        <v>911</v>
      </c>
      <c r="E69" t="s">
        <v>19</v>
      </c>
      <c r="F69" t="s">
        <v>239</v>
      </c>
      <c r="G69" s="2">
        <v>30</v>
      </c>
      <c r="H69" t="s">
        <v>20</v>
      </c>
      <c r="J69" s="1"/>
      <c r="L69" s="1"/>
      <c r="M69" t="str">
        <f>IF(Fields[[#This Row],[Reference Entity]]&lt;&gt;"","t" &amp;Fields[[#This Row],[Reference Entity]],"")</f>
        <v/>
      </c>
      <c r="P69" s="1"/>
      <c r="Q69" s="1"/>
      <c r="T69" s="1"/>
      <c r="U69" s="1"/>
    </row>
    <row r="70" spans="1:21" x14ac:dyDescent="0.3">
      <c r="A70">
        <v>27</v>
      </c>
      <c r="B70" t="s">
        <v>156</v>
      </c>
      <c r="C70" t="s">
        <v>910</v>
      </c>
      <c r="D70" s="1" t="s">
        <v>912</v>
      </c>
      <c r="E70" t="s">
        <v>19</v>
      </c>
      <c r="F70" t="s">
        <v>239</v>
      </c>
      <c r="G70" s="2">
        <v>30</v>
      </c>
      <c r="H70" t="s">
        <v>20</v>
      </c>
      <c r="J70" s="1"/>
      <c r="L70" s="1"/>
      <c r="M70" t="str">
        <f>IF(Fields[[#This Row],[Reference Entity]]&lt;&gt;"","t" &amp;Fields[[#This Row],[Reference Entity]],"")</f>
        <v/>
      </c>
      <c r="P70" s="1"/>
      <c r="Q70" s="1"/>
      <c r="T70" s="1"/>
      <c r="U70" s="1"/>
    </row>
    <row r="71" spans="1:21" x14ac:dyDescent="0.3">
      <c r="A71">
        <v>1</v>
      </c>
      <c r="B71" t="s">
        <v>157</v>
      </c>
      <c r="C71" t="s">
        <v>215</v>
      </c>
      <c r="D71" s="1" t="s">
        <v>218</v>
      </c>
      <c r="E71" t="s">
        <v>488</v>
      </c>
      <c r="F71" t="s">
        <v>487</v>
      </c>
      <c r="G71" s="2"/>
      <c r="L71" s="1" t="s">
        <v>349</v>
      </c>
      <c r="M71" t="str">
        <f>IF(Fields[[#This Row],[Reference Entity]]&lt;&gt;"","t" &amp;Fields[[#This Row],[Reference Entity]],"")</f>
        <v>tBookRecord</v>
      </c>
      <c r="N71" t="str">
        <f>IF(Fields[[#This Row],[Reference Entity]]&lt;&gt;"",RIGHT(Fields[[#This Row],[Column Name]],LEN(Fields[[#This Row],[Column Name]])-2),"")</f>
        <v>BookingRecord</v>
      </c>
      <c r="O71" t="s">
        <v>142</v>
      </c>
      <c r="P71" s="1"/>
      <c r="Q71" t="str">
        <f>Fields[[#This Row],[Column Name]]</f>
        <v>idBookingRecord</v>
      </c>
      <c r="R71"/>
      <c r="S71"/>
    </row>
    <row r="72" spans="1:21" x14ac:dyDescent="0.3">
      <c r="A72">
        <v>2</v>
      </c>
      <c r="B72" t="s">
        <v>157</v>
      </c>
      <c r="C72" t="s">
        <v>5</v>
      </c>
      <c r="D72" s="1"/>
      <c r="E72" t="s">
        <v>488</v>
      </c>
      <c r="F72" t="s">
        <v>487</v>
      </c>
      <c r="G72" s="2"/>
      <c r="J72" s="1"/>
      <c r="L72" s="1"/>
      <c r="M72" t="str">
        <f>IF(Fields[[#This Row],[Reference Entity]]&lt;&gt;"","t" &amp;Fields[[#This Row],[Reference Entity]],"")</f>
        <v/>
      </c>
      <c r="P72" s="1"/>
      <c r="Q72" s="1" t="s">
        <v>5</v>
      </c>
      <c r="T72" s="1"/>
      <c r="U72" s="1"/>
    </row>
    <row r="73" spans="1:21" x14ac:dyDescent="0.3">
      <c r="A73">
        <v>3</v>
      </c>
      <c r="B73" t="s">
        <v>157</v>
      </c>
      <c r="C73" t="s">
        <v>53</v>
      </c>
      <c r="D73" s="1"/>
      <c r="E73" t="s">
        <v>488</v>
      </c>
      <c r="F73" t="s">
        <v>487</v>
      </c>
      <c r="G73" s="2"/>
      <c r="H73" t="s">
        <v>20</v>
      </c>
      <c r="J73" s="1"/>
      <c r="K73"/>
      <c r="L73" s="1" t="s">
        <v>342</v>
      </c>
      <c r="M73" t="str">
        <f>IF(Fields[[#This Row],[Reference Entity]]&lt;&gt;"","t" &amp;Fields[[#This Row],[Reference Entity]],"")</f>
        <v>tPlan</v>
      </c>
      <c r="N73" t="str">
        <f>IF(Fields[[#This Row],[Reference Entity]]&lt;&gt;"",RIGHT(Fields[[#This Row],[Column Name]],LEN(Fields[[#This Row],[Column Name]])-2),"")</f>
        <v>Plan</v>
      </c>
      <c r="P73" s="1"/>
      <c r="Q73" s="1" t="s">
        <v>53</v>
      </c>
      <c r="R73"/>
      <c r="S73"/>
      <c r="T73" s="1"/>
      <c r="U73" s="1"/>
    </row>
    <row r="74" spans="1:21" ht="28.8" x14ac:dyDescent="0.3">
      <c r="A74">
        <v>4</v>
      </c>
      <c r="B74" t="s">
        <v>157</v>
      </c>
      <c r="C74" t="s">
        <v>59</v>
      </c>
      <c r="D74" s="1"/>
      <c r="E74" t="s">
        <v>488</v>
      </c>
      <c r="F74" t="s">
        <v>487</v>
      </c>
      <c r="G74" s="2"/>
      <c r="H74" t="s">
        <v>20</v>
      </c>
      <c r="J74" s="1"/>
      <c r="K74"/>
      <c r="L74" s="1" t="s">
        <v>343</v>
      </c>
      <c r="M74" t="str">
        <f>IF(Fields[[#This Row],[Reference Entity]]&lt;&gt;"","t" &amp;Fields[[#This Row],[Reference Entity]],"")</f>
        <v>tPlanElement</v>
      </c>
      <c r="N74" t="str">
        <f>IF(Fields[[#This Row],[Reference Entity]]&lt;&gt;"",RIGHT(Fields[[#This Row],[Column Name]],LEN(Fields[[#This Row],[Column Name]])-2),"")</f>
        <v>PlanElement</v>
      </c>
      <c r="P74" s="1"/>
      <c r="Q74" s="1" t="s">
        <v>59</v>
      </c>
      <c r="R74"/>
      <c r="S74"/>
      <c r="T74" s="1"/>
      <c r="U74" s="1"/>
    </row>
    <row r="75" spans="1:21" x14ac:dyDescent="0.3">
      <c r="A75">
        <v>5</v>
      </c>
      <c r="B75" t="s">
        <v>157</v>
      </c>
      <c r="C75" t="s">
        <v>796</v>
      </c>
      <c r="D75" s="1" t="s">
        <v>219</v>
      </c>
      <c r="E75" t="s">
        <v>488</v>
      </c>
      <c r="F75" t="s">
        <v>487</v>
      </c>
      <c r="G75" s="2"/>
      <c r="J75" s="1"/>
      <c r="K75"/>
      <c r="L75" s="1" t="s">
        <v>335</v>
      </c>
      <c r="M75" t="str">
        <f>IF(Fields[[#This Row],[Reference Entity]]&lt;&gt;"","t" &amp;Fields[[#This Row],[Reference Entity]],"")</f>
        <v>tAccount</v>
      </c>
      <c r="N75" t="str">
        <f>IF(Fields[[#This Row],[Reference Entity]]&lt;&gt;"",RIGHT(Fields[[#This Row],[Column Name]],LEN(Fields[[#This Row],[Column Name]])-2),"")</f>
        <v>AccountReport</v>
      </c>
      <c r="P75" s="1"/>
      <c r="Q75" t="str">
        <f>Fields[[#This Row],[Column Name]]</f>
        <v>idAccountReport</v>
      </c>
      <c r="S75"/>
    </row>
    <row r="76" spans="1:21" x14ac:dyDescent="0.3">
      <c r="A76">
        <v>6</v>
      </c>
      <c r="B76" t="s">
        <v>157</v>
      </c>
      <c r="C76" t="s">
        <v>797</v>
      </c>
      <c r="D76" s="1"/>
      <c r="E76" t="s">
        <v>488</v>
      </c>
      <c r="F76" t="s">
        <v>487</v>
      </c>
      <c r="G76" s="2"/>
      <c r="J76" s="1"/>
      <c r="K76"/>
      <c r="L76" s="1" t="s">
        <v>335</v>
      </c>
      <c r="M76" t="str">
        <f>IF(Fields[[#This Row],[Reference Entity]]&lt;&gt;"","t" &amp;Fields[[#This Row],[Reference Entity]],"")</f>
        <v>tAccount</v>
      </c>
      <c r="N76" t="str">
        <f>IF(Fields[[#This Row],[Reference Entity]]&lt;&gt;"",RIGHT(Fields[[#This Row],[Column Name]],LEN(Fields[[#This Row],[Column Name]])-2),"")</f>
        <v>AccountBooking</v>
      </c>
      <c r="P76" s="1"/>
      <c r="Q76" t="s">
        <v>797</v>
      </c>
      <c r="S76"/>
    </row>
    <row r="77" spans="1:21" x14ac:dyDescent="0.3">
      <c r="A77">
        <v>7</v>
      </c>
      <c r="B77" t="s">
        <v>157</v>
      </c>
      <c r="C77" t="s">
        <v>799</v>
      </c>
      <c r="D77" s="1"/>
      <c r="E77" t="s">
        <v>488</v>
      </c>
      <c r="F77" t="s">
        <v>487</v>
      </c>
      <c r="G77" s="2"/>
      <c r="H77" t="s">
        <v>20</v>
      </c>
      <c r="J77" s="1"/>
      <c r="K77"/>
      <c r="L77" s="1" t="s">
        <v>337</v>
      </c>
      <c r="M77" t="str">
        <f>IF(Fields[[#This Row],[Reference Entity]]&lt;&gt;"","t" &amp;Fields[[#This Row],[Reference Entity]],"")</f>
        <v>tCostCenter</v>
      </c>
      <c r="N77" t="str">
        <f>IF(Fields[[#This Row],[Reference Entity]]&lt;&gt;"",RIGHT(Fields[[#This Row],[Column Name]],LEN(Fields[[#This Row],[Column Name]])-2),"")</f>
        <v>CostCenter</v>
      </c>
      <c r="P77" s="1"/>
      <c r="Q77" t="s">
        <v>799</v>
      </c>
      <c r="S77"/>
    </row>
    <row r="78" spans="1:21" x14ac:dyDescent="0.3">
      <c r="A78">
        <v>8</v>
      </c>
      <c r="B78" t="s">
        <v>157</v>
      </c>
      <c r="C78" t="s">
        <v>798</v>
      </c>
      <c r="D78" s="1"/>
      <c r="E78" t="s">
        <v>16</v>
      </c>
      <c r="F78" t="s">
        <v>4</v>
      </c>
      <c r="G78" s="2"/>
      <c r="H78" t="s">
        <v>20</v>
      </c>
      <c r="J78" s="4" t="s">
        <v>170</v>
      </c>
      <c r="K78"/>
      <c r="L78" s="1"/>
      <c r="M78" t="str">
        <f>IF(Fields[[#This Row],[Reference Entity]]&lt;&gt;"","t" &amp;Fields[[#This Row],[Reference Entity]],"")</f>
        <v/>
      </c>
      <c r="P78" s="1"/>
      <c r="S78"/>
    </row>
    <row r="79" spans="1:21" x14ac:dyDescent="0.3">
      <c r="A79">
        <v>9</v>
      </c>
      <c r="B79" t="s">
        <v>157</v>
      </c>
      <c r="C79" t="s">
        <v>285</v>
      </c>
      <c r="D79" s="1"/>
      <c r="E79" t="s">
        <v>19</v>
      </c>
      <c r="F79" t="s">
        <v>239</v>
      </c>
      <c r="G79" s="2">
        <v>12</v>
      </c>
      <c r="H79" t="s">
        <v>20</v>
      </c>
      <c r="J79" s="1"/>
      <c r="K79"/>
      <c r="L79" s="1"/>
      <c r="M79" t="str">
        <f>IF(Fields[[#This Row],[Reference Entity]]&lt;&gt;"","t" &amp;Fields[[#This Row],[Reference Entity]],"")</f>
        <v/>
      </c>
      <c r="P79" s="1"/>
      <c r="S79"/>
    </row>
    <row r="80" spans="1:21" x14ac:dyDescent="0.3">
      <c r="A80">
        <v>10</v>
      </c>
      <c r="B80" t="s">
        <v>157</v>
      </c>
      <c r="C80" t="s">
        <v>318</v>
      </c>
      <c r="D80" s="1"/>
      <c r="E80" t="s">
        <v>124</v>
      </c>
      <c r="F80" t="s">
        <v>233</v>
      </c>
      <c r="G80" s="2"/>
      <c r="H80" t="s">
        <v>20</v>
      </c>
      <c r="J80" s="1"/>
      <c r="K80" s="1" t="s">
        <v>318</v>
      </c>
      <c r="L80" s="1"/>
      <c r="M80" t="str">
        <f>IF(Fields[[#This Row],[Reference Entity]]&lt;&gt;"","t" &amp;Fields[[#This Row],[Reference Entity]],"")</f>
        <v/>
      </c>
      <c r="P80" s="1"/>
      <c r="Q80" s="1"/>
      <c r="T80" s="1"/>
      <c r="U80" s="1"/>
    </row>
    <row r="81" spans="1:21" ht="28.8" x14ac:dyDescent="0.3">
      <c r="A81">
        <v>11</v>
      </c>
      <c r="B81" t="s">
        <v>157</v>
      </c>
      <c r="C81" t="s">
        <v>815</v>
      </c>
      <c r="D81" s="1" t="s">
        <v>816</v>
      </c>
      <c r="E81" t="s">
        <v>18</v>
      </c>
      <c r="F81" t="s">
        <v>6</v>
      </c>
      <c r="G81" s="2"/>
      <c r="I81">
        <v>0</v>
      </c>
      <c r="J81" s="1"/>
      <c r="L81" s="1"/>
      <c r="M81" t="str">
        <f>IF(Fields[[#This Row],[Reference Entity]]&lt;&gt;"","t" &amp;Fields[[#This Row],[Reference Entity]],"")</f>
        <v/>
      </c>
      <c r="P81" s="1"/>
      <c r="Q81" s="1"/>
      <c r="T81" s="1"/>
      <c r="U81" s="1"/>
    </row>
    <row r="82" spans="1:21" x14ac:dyDescent="0.3">
      <c r="A82">
        <v>12</v>
      </c>
      <c r="B82" t="s">
        <v>157</v>
      </c>
      <c r="C82" t="s">
        <v>291</v>
      </c>
      <c r="D82" s="1"/>
      <c r="E82" t="s">
        <v>17</v>
      </c>
      <c r="F82" t="s">
        <v>388</v>
      </c>
      <c r="G82" s="2"/>
      <c r="H82" t="s">
        <v>20</v>
      </c>
      <c r="J82" s="1"/>
      <c r="L82" s="1"/>
      <c r="M82" t="str">
        <f>IF(Fields[[#This Row],[Reference Entity]]&lt;&gt;"","t" &amp;Fields[[#This Row],[Reference Entity]],"")</f>
        <v/>
      </c>
      <c r="P82" s="1"/>
      <c r="Q82" s="1"/>
      <c r="T82" s="1"/>
      <c r="U82" s="1"/>
    </row>
    <row r="83" spans="1:21" x14ac:dyDescent="0.3">
      <c r="A83">
        <v>13</v>
      </c>
      <c r="B83" t="s">
        <v>157</v>
      </c>
      <c r="C83" t="s">
        <v>800</v>
      </c>
      <c r="D83" s="1"/>
      <c r="E83" t="s">
        <v>30</v>
      </c>
      <c r="F83" t="s">
        <v>4</v>
      </c>
      <c r="G83" s="2"/>
      <c r="J83" s="1"/>
      <c r="L83" s="1"/>
      <c r="M83" t="str">
        <f>IF(Fields[[#This Row],[Reference Entity]]&lt;&gt;"","t" &amp;Fields[[#This Row],[Reference Entity]],"")</f>
        <v/>
      </c>
      <c r="P83" s="1"/>
      <c r="Q83" s="1"/>
      <c r="T83" s="1"/>
      <c r="U83" s="1"/>
    </row>
    <row r="84" spans="1:21" x14ac:dyDescent="0.3">
      <c r="A84">
        <v>14</v>
      </c>
      <c r="B84" t="s">
        <v>157</v>
      </c>
      <c r="C84" t="s">
        <v>216</v>
      </c>
      <c r="D84" s="1" t="s">
        <v>220</v>
      </c>
      <c r="E84" t="s">
        <v>60</v>
      </c>
      <c r="F84" t="s">
        <v>234</v>
      </c>
      <c r="G84" s="2"/>
      <c r="J84" s="1"/>
      <c r="L84" s="1" t="s">
        <v>382</v>
      </c>
      <c r="M84" t="str">
        <f>IF(Fields[[#This Row],[Reference Entity]]&lt;&gt;"","t" &amp;Fields[[#This Row],[Reference Entity]],"")</f>
        <v/>
      </c>
      <c r="N84" t="str">
        <f>IF(Fields[[#This Row],[Reference Entity]]&lt;&gt;"",RIGHT(Fields[[#This Row],[Column Name]],LEN(Fields[[#This Row],[Column Name]])-2),"")</f>
        <v/>
      </c>
      <c r="P84" s="1"/>
      <c r="Q84" s="1"/>
      <c r="T84" s="1"/>
      <c r="U84" s="1"/>
    </row>
    <row r="85" spans="1:21" x14ac:dyDescent="0.3">
      <c r="A85">
        <v>15</v>
      </c>
      <c r="B85" t="s">
        <v>157</v>
      </c>
      <c r="C85" t="s">
        <v>217</v>
      </c>
      <c r="D85" s="1" t="s">
        <v>221</v>
      </c>
      <c r="E85" t="s">
        <v>60</v>
      </c>
      <c r="F85" t="s">
        <v>234</v>
      </c>
      <c r="G85" s="2"/>
      <c r="J85" s="1"/>
      <c r="L85" s="1" t="s">
        <v>382</v>
      </c>
      <c r="M85" t="str">
        <f>IF(Fields[[#This Row],[Reference Entity]]&lt;&gt;"","t" &amp;Fields[[#This Row],[Reference Entity]],"")</f>
        <v/>
      </c>
      <c r="N85" t="str">
        <f>IF(Fields[[#This Row],[Reference Entity]]&lt;&gt;"",RIGHT(Fields[[#This Row],[Column Name]],LEN(Fields[[#This Row],[Column Name]])-2),"")</f>
        <v/>
      </c>
      <c r="P85" s="1"/>
      <c r="Q85" s="1"/>
      <c r="T85" s="1"/>
      <c r="U85" s="1"/>
    </row>
    <row r="86" spans="1:21" x14ac:dyDescent="0.3">
      <c r="A86">
        <v>16</v>
      </c>
      <c r="B86" t="s">
        <v>157</v>
      </c>
      <c r="C86" t="s">
        <v>862</v>
      </c>
      <c r="D86" s="1" t="s">
        <v>863</v>
      </c>
      <c r="E86" t="s">
        <v>45</v>
      </c>
      <c r="F86" t="s">
        <v>239</v>
      </c>
      <c r="G86" s="2" t="s">
        <v>238</v>
      </c>
      <c r="H86" t="s">
        <v>20</v>
      </c>
      <c r="J86" s="1"/>
      <c r="L86" s="1"/>
      <c r="M86" t="str">
        <f>IF(Fields[[#This Row],[Reference Entity]]&lt;&gt;"","t" &amp;Fields[[#This Row],[Reference Entity]],"")</f>
        <v/>
      </c>
      <c r="P86" s="1"/>
      <c r="Q86" s="1"/>
      <c r="T86" s="1"/>
      <c r="U86" s="1"/>
    </row>
    <row r="87" spans="1:21" x14ac:dyDescent="0.3">
      <c r="A87">
        <v>17</v>
      </c>
      <c r="B87" t="s">
        <v>157</v>
      </c>
      <c r="C87" t="s">
        <v>864</v>
      </c>
      <c r="D87" s="1" t="s">
        <v>865</v>
      </c>
      <c r="E87" t="s">
        <v>124</v>
      </c>
      <c r="F87" t="s">
        <v>233</v>
      </c>
      <c r="G87" s="2"/>
      <c r="I87">
        <v>0</v>
      </c>
      <c r="J87" s="1"/>
      <c r="L87" s="1"/>
      <c r="M87" t="str">
        <f>IF(Fields[[#This Row],[Reference Entity]]&lt;&gt;"","t" &amp;Fields[[#This Row],[Reference Entity]],"")</f>
        <v/>
      </c>
      <c r="P87" s="1"/>
      <c r="Q87" s="1"/>
      <c r="T87" s="1"/>
      <c r="U87" s="1"/>
    </row>
    <row r="88" spans="1:21" ht="57.6" x14ac:dyDescent="0.3">
      <c r="A88">
        <v>18</v>
      </c>
      <c r="B88" t="s">
        <v>157</v>
      </c>
      <c r="C88" t="s">
        <v>885</v>
      </c>
      <c r="D88" s="1" t="s">
        <v>37</v>
      </c>
      <c r="E88" t="s">
        <v>19</v>
      </c>
      <c r="F88" t="s">
        <v>239</v>
      </c>
      <c r="G88" s="2">
        <v>15</v>
      </c>
      <c r="H88" t="s">
        <v>20</v>
      </c>
      <c r="J88" s="1"/>
      <c r="L88" s="1"/>
      <c r="M88" t="str">
        <f>IF(Fields[[#This Row],[Reference Entity]]&lt;&gt;"","t" &amp;Fields[[#This Row],[Reference Entity]],"")</f>
        <v/>
      </c>
      <c r="P88" s="1"/>
      <c r="Q88" s="1"/>
      <c r="T88" s="1"/>
      <c r="U88" s="1"/>
    </row>
    <row r="89" spans="1:21" x14ac:dyDescent="0.3">
      <c r="A89">
        <v>19</v>
      </c>
      <c r="B89" t="s">
        <v>157</v>
      </c>
      <c r="C89" t="s">
        <v>520</v>
      </c>
      <c r="D89" s="1" t="s">
        <v>890</v>
      </c>
      <c r="E89" t="s">
        <v>124</v>
      </c>
      <c r="F89" t="s">
        <v>233</v>
      </c>
      <c r="G89" s="2"/>
      <c r="I89">
        <v>0</v>
      </c>
      <c r="J89" s="1"/>
      <c r="L89" s="1"/>
      <c r="M89" t="str">
        <f>IF(Fields[[#This Row],[Reference Entity]]&lt;&gt;"","t" &amp;Fields[[#This Row],[Reference Entity]],"")</f>
        <v/>
      </c>
      <c r="P89" s="1"/>
      <c r="Q89" s="1"/>
      <c r="T89" s="1"/>
      <c r="U89" s="1"/>
    </row>
    <row r="90" spans="1:21" ht="28.8" x14ac:dyDescent="0.3">
      <c r="A90">
        <v>20</v>
      </c>
      <c r="B90" t="s">
        <v>157</v>
      </c>
      <c r="C90" t="s">
        <v>892</v>
      </c>
      <c r="D90" s="1" t="s">
        <v>893</v>
      </c>
      <c r="E90" t="s">
        <v>16</v>
      </c>
      <c r="F90" t="s">
        <v>4</v>
      </c>
      <c r="G90" s="2"/>
      <c r="H90" t="s">
        <v>20</v>
      </c>
      <c r="J90" s="1"/>
      <c r="L90" s="1"/>
      <c r="M90" t="str">
        <f>IF(Fields[[#This Row],[Reference Entity]]&lt;&gt;"","t" &amp;Fields[[#This Row],[Reference Entity]],"")</f>
        <v/>
      </c>
      <c r="P90" s="1"/>
      <c r="Q90" s="1"/>
      <c r="T90" s="1"/>
      <c r="U90" s="1"/>
    </row>
    <row r="91" spans="1:21" x14ac:dyDescent="0.3">
      <c r="A91">
        <v>21</v>
      </c>
      <c r="B91" t="s">
        <v>157</v>
      </c>
      <c r="C91" t="s">
        <v>900</v>
      </c>
      <c r="D91" s="1" t="s">
        <v>901</v>
      </c>
      <c r="E91" t="s">
        <v>16</v>
      </c>
      <c r="F91" t="s">
        <v>4</v>
      </c>
      <c r="G91" s="2"/>
      <c r="H91" t="s">
        <v>20</v>
      </c>
      <c r="J91" s="1"/>
      <c r="L91" s="1"/>
      <c r="M91" t="str">
        <f>IF(Fields[[#This Row],[Reference Entity]]&lt;&gt;"","t" &amp;Fields[[#This Row],[Reference Entity]],"")</f>
        <v/>
      </c>
      <c r="P91" s="1"/>
      <c r="Q91" s="1"/>
      <c r="T91" s="1"/>
      <c r="U91" s="1"/>
    </row>
    <row r="92" spans="1:21" x14ac:dyDescent="0.3">
      <c r="A92">
        <v>1</v>
      </c>
      <c r="B92" t="s">
        <v>8</v>
      </c>
      <c r="C92" t="s">
        <v>303</v>
      </c>
      <c r="D92" s="1" t="s">
        <v>21</v>
      </c>
      <c r="E92" t="s">
        <v>19</v>
      </c>
      <c r="F92" t="s">
        <v>239</v>
      </c>
      <c r="G92" s="2">
        <v>30</v>
      </c>
      <c r="L92" s="1" t="s">
        <v>382</v>
      </c>
      <c r="M92" t="str">
        <f>IF(Fields[[#This Row],[Reference Entity]]&lt;&gt;"","t" &amp;Fields[[#This Row],[Reference Entity]],"")</f>
        <v/>
      </c>
      <c r="N92" t="str">
        <f>IF(Fields[[#This Row],[Reference Entity]]&lt;&gt;"",RIGHT(Fields[[#This Row],[Column Name]],LEN(Fields[[#This Row],[Column Name]])-2),"")</f>
        <v/>
      </c>
      <c r="P92" s="1"/>
      <c r="R92"/>
      <c r="S92"/>
    </row>
    <row r="93" spans="1:21" x14ac:dyDescent="0.3">
      <c r="A93">
        <v>2</v>
      </c>
      <c r="B93" t="s">
        <v>8</v>
      </c>
      <c r="C93" t="s">
        <v>298</v>
      </c>
      <c r="D93" s="1" t="s">
        <v>110</v>
      </c>
      <c r="E93" t="s">
        <v>488</v>
      </c>
      <c r="F93" t="s">
        <v>487</v>
      </c>
      <c r="G93" s="2"/>
      <c r="L93" s="1" t="s">
        <v>333</v>
      </c>
      <c r="M93" t="str">
        <f>IF(Fields[[#This Row],[Reference Entity]]&lt;&gt;"","t" &amp;Fields[[#This Row],[Reference Entity]],"")</f>
        <v>tCurrency</v>
      </c>
      <c r="N93" t="str">
        <f>IF(Fields[[#This Row],[Reference Entity]]&lt;&gt;"",RIGHT(Fields[[#This Row],[Column Name]],LEN(Fields[[#This Row],[Column Name]])-2),"")</f>
        <v>CurrencyClient</v>
      </c>
      <c r="P93" s="1"/>
      <c r="Q93" t="str">
        <f>Fields[[#This Row],[Column Name]]</f>
        <v>idCurrencyClient</v>
      </c>
      <c r="R93"/>
      <c r="S93"/>
    </row>
    <row r="94" spans="1:21" x14ac:dyDescent="0.3">
      <c r="A94">
        <v>3</v>
      </c>
      <c r="B94" t="s">
        <v>8</v>
      </c>
      <c r="C94" t="s">
        <v>151</v>
      </c>
      <c r="D94" s="1" t="s">
        <v>152</v>
      </c>
      <c r="E94" t="s">
        <v>18</v>
      </c>
      <c r="F94" t="s">
        <v>6</v>
      </c>
      <c r="G94" s="2"/>
      <c r="I94">
        <v>0</v>
      </c>
      <c r="L94" s="1" t="s">
        <v>382</v>
      </c>
      <c r="M94" t="str">
        <f>IF(Fields[[#This Row],[Reference Entity]]&lt;&gt;"","t" &amp;Fields[[#This Row],[Reference Entity]],"")</f>
        <v/>
      </c>
      <c r="N94" t="str">
        <f>IF(Fields[[#This Row],[Reference Entity]]&lt;&gt;"",RIGHT(Fields[[#This Row],[Column Name]],LEN(Fields[[#This Row],[Column Name]])-2),"")</f>
        <v/>
      </c>
      <c r="P94" s="1"/>
      <c r="R94"/>
      <c r="S94"/>
    </row>
    <row r="95" spans="1:21" x14ac:dyDescent="0.3">
      <c r="A95">
        <v>4</v>
      </c>
      <c r="B95" t="s">
        <v>8</v>
      </c>
      <c r="C95" t="s">
        <v>199</v>
      </c>
      <c r="D95" s="1" t="s">
        <v>200</v>
      </c>
      <c r="E95" t="s">
        <v>30</v>
      </c>
      <c r="F95" t="s">
        <v>4</v>
      </c>
      <c r="G95" s="2"/>
      <c r="I95">
        <v>1</v>
      </c>
      <c r="L95" s="1" t="s">
        <v>382</v>
      </c>
      <c r="M95" t="str">
        <f>IF(Fields[[#This Row],[Reference Entity]]&lt;&gt;"","t" &amp;Fields[[#This Row],[Reference Entity]],"")</f>
        <v/>
      </c>
      <c r="N95" t="str">
        <f>IF(Fields[[#This Row],[Reference Entity]]&lt;&gt;"",RIGHT(Fields[[#This Row],[Column Name]],LEN(Fields[[#This Row],[Column Name]])-2),"")</f>
        <v/>
      </c>
      <c r="P95" s="1"/>
      <c r="R95"/>
      <c r="S95"/>
    </row>
    <row r="96" spans="1:21" x14ac:dyDescent="0.3">
      <c r="A96">
        <v>5</v>
      </c>
      <c r="B96" t="s">
        <v>8</v>
      </c>
      <c r="C96" t="s">
        <v>738</v>
      </c>
      <c r="D96" s="1" t="s">
        <v>739</v>
      </c>
      <c r="E96" t="s">
        <v>30</v>
      </c>
      <c r="F96" t="s">
        <v>4</v>
      </c>
      <c r="G96" s="2"/>
      <c r="H96" t="s">
        <v>20</v>
      </c>
      <c r="L96" s="1"/>
      <c r="M96" t="str">
        <f>IF(Fields[[#This Row],[Reference Entity]]&lt;&gt;"","t" &amp;Fields[[#This Row],[Reference Entity]],"")</f>
        <v/>
      </c>
      <c r="P96" s="1"/>
      <c r="R96"/>
      <c r="S96"/>
    </row>
    <row r="97" spans="1:21" x14ac:dyDescent="0.3">
      <c r="A97">
        <v>6</v>
      </c>
      <c r="B97" t="s">
        <v>8</v>
      </c>
      <c r="C97" t="s">
        <v>881</v>
      </c>
      <c r="D97" s="1" t="s">
        <v>882</v>
      </c>
      <c r="E97" t="s">
        <v>488</v>
      </c>
      <c r="F97" t="s">
        <v>487</v>
      </c>
      <c r="G97" s="2"/>
      <c r="H97" t="s">
        <v>20</v>
      </c>
      <c r="L97" s="1" t="s">
        <v>340</v>
      </c>
      <c r="M97" t="str">
        <f>IF(Fields[[#This Row],[Reference Entity]]&lt;&gt;"","t" &amp;Fields[[#This Row],[Reference Entity]],"")</f>
        <v>tReferenceGroup</v>
      </c>
      <c r="N97" t="s">
        <v>340</v>
      </c>
      <c r="P97" s="1"/>
      <c r="R97"/>
      <c r="S97"/>
    </row>
    <row r="98" spans="1:21" x14ac:dyDescent="0.3">
      <c r="A98">
        <v>7</v>
      </c>
      <c r="B98" t="s">
        <v>8</v>
      </c>
      <c r="C98" t="s">
        <v>902</v>
      </c>
      <c r="D98" s="1" t="s">
        <v>903</v>
      </c>
      <c r="E98" t="s">
        <v>897</v>
      </c>
      <c r="F98" t="s">
        <v>388</v>
      </c>
      <c r="G98" s="2"/>
      <c r="H98" t="s">
        <v>20</v>
      </c>
      <c r="L98" s="1"/>
      <c r="M98" t="str">
        <f>IF(Fields[[#This Row],[Reference Entity]]&lt;&gt;"","t" &amp;Fields[[#This Row],[Reference Entity]],"")</f>
        <v/>
      </c>
      <c r="P98" s="1"/>
      <c r="T98" s="1"/>
      <c r="U98" s="1"/>
    </row>
    <row r="99" spans="1:21" x14ac:dyDescent="0.3">
      <c r="A99">
        <v>8</v>
      </c>
      <c r="B99" t="s">
        <v>8</v>
      </c>
      <c r="C99" t="s">
        <v>905</v>
      </c>
      <c r="D99" s="1" t="s">
        <v>906</v>
      </c>
      <c r="E99" t="s">
        <v>19</v>
      </c>
      <c r="F99" t="s">
        <v>239</v>
      </c>
      <c r="G99" s="2">
        <v>500</v>
      </c>
      <c r="H99" t="s">
        <v>20</v>
      </c>
      <c r="L99" s="1"/>
      <c r="M99" t="str">
        <f>IF(Fields[[#This Row],[Reference Entity]]&lt;&gt;"","t" &amp;Fields[[#This Row],[Reference Entity]],"")</f>
        <v/>
      </c>
      <c r="P99" s="1"/>
      <c r="T99" s="1"/>
      <c r="U99" s="1"/>
    </row>
    <row r="100" spans="1:21" x14ac:dyDescent="0.3">
      <c r="A100">
        <v>9</v>
      </c>
      <c r="B100" t="s">
        <v>8</v>
      </c>
      <c r="C100" t="s">
        <v>907</v>
      </c>
      <c r="D100" s="1" t="s">
        <v>908</v>
      </c>
      <c r="E100" t="s">
        <v>30</v>
      </c>
      <c r="F100" t="s">
        <v>4</v>
      </c>
      <c r="G100" s="2"/>
      <c r="I100">
        <v>0</v>
      </c>
      <c r="L100" s="1"/>
      <c r="M100" t="str">
        <f>IF(Fields[[#This Row],[Reference Entity]]&lt;&gt;"","t" &amp;Fields[[#This Row],[Reference Entity]],"")</f>
        <v/>
      </c>
      <c r="P100" s="1"/>
      <c r="T100" s="1"/>
      <c r="U100" s="1"/>
    </row>
    <row r="101" spans="1:21" x14ac:dyDescent="0.3">
      <c r="A101">
        <v>1</v>
      </c>
      <c r="B101" t="s">
        <v>9</v>
      </c>
      <c r="C101" t="s">
        <v>5</v>
      </c>
      <c r="D101" s="1" t="s">
        <v>10</v>
      </c>
      <c r="E101" t="s">
        <v>488</v>
      </c>
      <c r="F101" t="s">
        <v>487</v>
      </c>
      <c r="G101" s="2"/>
      <c r="L101" s="1" t="s">
        <v>147</v>
      </c>
      <c r="M101" t="str">
        <f>IF(Fields[[#This Row],[Reference Entity]]&lt;&gt;"","t" &amp;Fields[[#This Row],[Reference Entity]],"")</f>
        <v>tClient</v>
      </c>
      <c r="N101" t="str">
        <f>IF(Fields[[#This Row],[Reference Entity]]&lt;&gt;"",RIGHT(Fields[[#This Row],[Column Name]],LEN(Fields[[#This Row],[Column Name]])-2),"")</f>
        <v>Client</v>
      </c>
      <c r="O101" t="s">
        <v>142</v>
      </c>
      <c r="P101" s="1"/>
      <c r="Q101" t="s">
        <v>25</v>
      </c>
      <c r="R101" t="s">
        <v>20</v>
      </c>
      <c r="S101"/>
    </row>
    <row r="102" spans="1:21" x14ac:dyDescent="0.3">
      <c r="A102">
        <v>2</v>
      </c>
      <c r="B102" t="s">
        <v>9</v>
      </c>
      <c r="C102" t="s">
        <v>285</v>
      </c>
      <c r="D102" s="1" t="s">
        <v>26</v>
      </c>
      <c r="E102" t="s">
        <v>19</v>
      </c>
      <c r="F102" t="s">
        <v>239</v>
      </c>
      <c r="G102" s="2">
        <v>12</v>
      </c>
      <c r="L102" s="1" t="s">
        <v>382</v>
      </c>
      <c r="M102" t="str">
        <f>IF(Fields[[#This Row],[Reference Entity]]&lt;&gt;"","t" &amp;Fields[[#This Row],[Reference Entity]],"")</f>
        <v/>
      </c>
      <c r="N102" t="str">
        <f>IF(Fields[[#This Row],[Reference Entity]]&lt;&gt;"",RIGHT(Fields[[#This Row],[Column Name]],LEN(Fields[[#This Row],[Column Name]])-2),"")</f>
        <v/>
      </c>
      <c r="P102" s="1"/>
      <c r="Q102" t="s">
        <v>25</v>
      </c>
      <c r="R102" t="s">
        <v>20</v>
      </c>
      <c r="S102"/>
    </row>
    <row r="103" spans="1:21" x14ac:dyDescent="0.3">
      <c r="A103">
        <v>3</v>
      </c>
      <c r="B103" t="s">
        <v>9</v>
      </c>
      <c r="C103" t="s">
        <v>304</v>
      </c>
      <c r="D103" s="1" t="s">
        <v>27</v>
      </c>
      <c r="E103" t="s">
        <v>19</v>
      </c>
      <c r="F103" t="s">
        <v>239</v>
      </c>
      <c r="G103" s="2">
        <v>50</v>
      </c>
      <c r="L103" s="1" t="s">
        <v>382</v>
      </c>
      <c r="M103" t="str">
        <f>IF(Fields[[#This Row],[Reference Entity]]&lt;&gt;"","t" &amp;Fields[[#This Row],[Reference Entity]],"")</f>
        <v/>
      </c>
      <c r="N103" t="str">
        <f>IF(Fields[[#This Row],[Reference Entity]]&lt;&gt;"",RIGHT(Fields[[#This Row],[Column Name]],LEN(Fields[[#This Row],[Column Name]])-2),"")</f>
        <v/>
      </c>
      <c r="P103" s="1"/>
      <c r="R103"/>
      <c r="S103"/>
    </row>
    <row r="104" spans="1:21" x14ac:dyDescent="0.3">
      <c r="A104">
        <v>4</v>
      </c>
      <c r="B104" t="s">
        <v>9</v>
      </c>
      <c r="C104" t="s">
        <v>571</v>
      </c>
      <c r="D104" s="1"/>
      <c r="E104" t="s">
        <v>19</v>
      </c>
      <c r="F104" t="s">
        <v>239</v>
      </c>
      <c r="G104" s="2">
        <v>50</v>
      </c>
      <c r="H104" t="s">
        <v>20</v>
      </c>
      <c r="L104" s="1"/>
      <c r="M104" t="str">
        <f>IF(Fields[[#This Row],[Reference Entity]]&lt;&gt;"","t" &amp;Fields[[#This Row],[Reference Entity]],"")</f>
        <v/>
      </c>
      <c r="P104" s="1"/>
      <c r="R104"/>
      <c r="S104"/>
    </row>
    <row r="105" spans="1:21" x14ac:dyDescent="0.3">
      <c r="A105">
        <v>5</v>
      </c>
      <c r="B105" t="s">
        <v>9</v>
      </c>
      <c r="C105" t="s">
        <v>67</v>
      </c>
      <c r="D105" s="1" t="s">
        <v>28</v>
      </c>
      <c r="E105" t="s">
        <v>18</v>
      </c>
      <c r="F105" t="s">
        <v>6</v>
      </c>
      <c r="G105" s="2"/>
      <c r="I105">
        <v>0</v>
      </c>
      <c r="L105" s="1" t="s">
        <v>382</v>
      </c>
      <c r="M105" t="str">
        <f>IF(Fields[[#This Row],[Reference Entity]]&lt;&gt;"","t" &amp;Fields[[#This Row],[Reference Entity]],"")</f>
        <v/>
      </c>
      <c r="N105" t="str">
        <f>IF(Fields[[#This Row],[Reference Entity]]&lt;&gt;"",RIGHT(Fields[[#This Row],[Column Name]],LEN(Fields[[#This Row],[Column Name]])-2),"")</f>
        <v/>
      </c>
      <c r="P105" s="1"/>
      <c r="R105"/>
      <c r="S105"/>
    </row>
    <row r="106" spans="1:21" x14ac:dyDescent="0.3">
      <c r="A106">
        <v>6</v>
      </c>
      <c r="B106" t="s">
        <v>9</v>
      </c>
      <c r="C106" t="s">
        <v>572</v>
      </c>
      <c r="D106" s="1"/>
      <c r="E106" t="s">
        <v>45</v>
      </c>
      <c r="F106" t="s">
        <v>239</v>
      </c>
      <c r="G106" s="2" t="s">
        <v>238</v>
      </c>
      <c r="H106" t="s">
        <v>20</v>
      </c>
      <c r="L106" s="1"/>
      <c r="M106" t="str">
        <f>IF(Fields[[#This Row],[Reference Entity]]&lt;&gt;"","t" &amp;Fields[[#This Row],[Reference Entity]],"")</f>
        <v/>
      </c>
      <c r="P106" s="1"/>
      <c r="R106"/>
      <c r="S106"/>
    </row>
    <row r="107" spans="1:21" x14ac:dyDescent="0.3">
      <c r="A107">
        <v>1</v>
      </c>
      <c r="B107" t="s">
        <v>65</v>
      </c>
      <c r="C107" t="s">
        <v>286</v>
      </c>
      <c r="D107" s="1" t="s">
        <v>112</v>
      </c>
      <c r="E107" t="s">
        <v>19</v>
      </c>
      <c r="F107" t="s">
        <v>239</v>
      </c>
      <c r="G107" s="2">
        <v>3</v>
      </c>
      <c r="L107" s="1" t="s">
        <v>382</v>
      </c>
      <c r="M107" t="str">
        <f>IF(Fields[[#This Row],[Reference Entity]]&lt;&gt;"","t" &amp;Fields[[#This Row],[Reference Entity]],"")</f>
        <v/>
      </c>
      <c r="N107" t="str">
        <f>IF(Fields[[#This Row],[Reference Entity]]&lt;&gt;"",RIGHT(Fields[[#This Row],[Column Name]],LEN(Fields[[#This Row],[Column Name]])-2),"")</f>
        <v/>
      </c>
      <c r="P107" s="1"/>
      <c r="R107"/>
      <c r="S107"/>
    </row>
    <row r="108" spans="1:21" x14ac:dyDescent="0.3">
      <c r="A108">
        <v>2</v>
      </c>
      <c r="B108" t="s">
        <v>65</v>
      </c>
      <c r="C108" t="s">
        <v>305</v>
      </c>
      <c r="D108" s="1" t="s">
        <v>113</v>
      </c>
      <c r="E108" t="s">
        <v>19</v>
      </c>
      <c r="F108" t="s">
        <v>239</v>
      </c>
      <c r="G108" s="2">
        <v>30</v>
      </c>
      <c r="L108" s="1" t="s">
        <v>382</v>
      </c>
      <c r="M108" t="str">
        <f>IF(Fields[[#This Row],[Reference Entity]]&lt;&gt;"","t" &amp;Fields[[#This Row],[Reference Entity]],"")</f>
        <v/>
      </c>
      <c r="N108" t="str">
        <f>IF(Fields[[#This Row],[Reference Entity]]&lt;&gt;"",RIGHT(Fields[[#This Row],[Column Name]],LEN(Fields[[#This Row],[Column Name]])-2),"")</f>
        <v/>
      </c>
      <c r="P108" s="1"/>
      <c r="R108"/>
      <c r="S108"/>
    </row>
    <row r="109" spans="1:21" ht="28.8" x14ac:dyDescent="0.3">
      <c r="A109">
        <v>1</v>
      </c>
      <c r="B109" t="s">
        <v>512</v>
      </c>
      <c r="C109" t="s">
        <v>5</v>
      </c>
      <c r="D109" s="1" t="s">
        <v>514</v>
      </c>
      <c r="E109" t="s">
        <v>488</v>
      </c>
      <c r="F109" t="s">
        <v>487</v>
      </c>
      <c r="G109" s="2"/>
      <c r="L109" s="1" t="s">
        <v>147</v>
      </c>
      <c r="M109" t="str">
        <f>IF(Fields[[#This Row],[Reference Entity]]&lt;&gt;"","t" &amp;Fields[[#This Row],[Reference Entity]],"")</f>
        <v>tClient</v>
      </c>
      <c r="N109" t="str">
        <f>IF(Fields[[#This Row],[Reference Entity]]&lt;&gt;"",RIGHT(Fields[[#This Row],[Column Name]],LEN(Fields[[#This Row],[Column Name]])-2),"")</f>
        <v>Client</v>
      </c>
      <c r="O109" t="s">
        <v>142</v>
      </c>
      <c r="P109" s="1"/>
      <c r="Q109" t="str">
        <f>Fields[[#This Row],[Column Name]]</f>
        <v>idClient</v>
      </c>
      <c r="R109"/>
      <c r="S109"/>
    </row>
    <row r="110" spans="1:21" ht="43.2" x14ac:dyDescent="0.3">
      <c r="A110">
        <v>2</v>
      </c>
      <c r="B110" t="s">
        <v>512</v>
      </c>
      <c r="C110" t="s">
        <v>53</v>
      </c>
      <c r="D110" s="1" t="s">
        <v>513</v>
      </c>
      <c r="E110" t="s">
        <v>488</v>
      </c>
      <c r="F110" t="s">
        <v>487</v>
      </c>
      <c r="G110" s="2"/>
      <c r="H110" t="s">
        <v>20</v>
      </c>
      <c r="L110" s="1" t="s">
        <v>342</v>
      </c>
      <c r="M110" t="str">
        <f>IF(Fields[[#This Row],[Reference Entity]]&lt;&gt;"","t" &amp;Fields[[#This Row],[Reference Entity]],"")</f>
        <v>tPlan</v>
      </c>
      <c r="N110" t="str">
        <f>IF(Fields[[#This Row],[Reference Entity]]&lt;&gt;"",RIGHT(Fields[[#This Row],[Column Name]],LEN(Fields[[#This Row],[Column Name]])-2),"")</f>
        <v>Plan</v>
      </c>
      <c r="P110" s="1"/>
      <c r="Q110" t="str">
        <f>Fields[[#This Row],[Column Name]]</f>
        <v>idPlan</v>
      </c>
      <c r="R110"/>
      <c r="S110"/>
    </row>
    <row r="111" spans="1:21" x14ac:dyDescent="0.3">
      <c r="A111">
        <v>3</v>
      </c>
      <c r="B111" t="s">
        <v>512</v>
      </c>
      <c r="C111" t="s">
        <v>299</v>
      </c>
      <c r="D111" s="1" t="s">
        <v>114</v>
      </c>
      <c r="E111" t="s">
        <v>488</v>
      </c>
      <c r="F111" t="s">
        <v>487</v>
      </c>
      <c r="G111" s="2"/>
      <c r="L111" s="1" t="s">
        <v>333</v>
      </c>
      <c r="M111" t="str">
        <f>IF(Fields[[#This Row],[Reference Entity]]&lt;&gt;"","t" &amp;Fields[[#This Row],[Reference Entity]],"")</f>
        <v>tCurrency</v>
      </c>
      <c r="N111" t="str">
        <f>IF(Fields[[#This Row],[Reference Entity]]&lt;&gt;"",RIGHT(Fields[[#This Row],[Column Name]],LEN(Fields[[#This Row],[Column Name]])-2),"")</f>
        <v>CurrencyExchangeRate</v>
      </c>
      <c r="P111" s="1"/>
      <c r="Q111" t="str">
        <f>Fields[[#This Row],[Column Name]]</f>
        <v>idCurrencyExchangeRate</v>
      </c>
      <c r="R111"/>
      <c r="S111"/>
    </row>
    <row r="112" spans="1:21" ht="28.8" x14ac:dyDescent="0.3">
      <c r="A112">
        <v>4</v>
      </c>
      <c r="B112" t="s">
        <v>512</v>
      </c>
      <c r="C112" t="s">
        <v>515</v>
      </c>
      <c r="D112" s="1" t="s">
        <v>516</v>
      </c>
      <c r="E112" t="s">
        <v>17</v>
      </c>
      <c r="F112" t="s">
        <v>388</v>
      </c>
      <c r="G112" s="2"/>
      <c r="L112" s="1"/>
      <c r="M112" t="str">
        <f>IF(Fields[[#This Row],[Reference Entity]]&lt;&gt;"","t" &amp;Fields[[#This Row],[Reference Entity]],"")</f>
        <v/>
      </c>
      <c r="P112" s="1"/>
      <c r="Q112" t="s">
        <v>517</v>
      </c>
      <c r="R112"/>
      <c r="S112"/>
    </row>
    <row r="113" spans="1:22" x14ac:dyDescent="0.3">
      <c r="A113">
        <v>5</v>
      </c>
      <c r="B113" t="s">
        <v>512</v>
      </c>
      <c r="C113" t="s">
        <v>115</v>
      </c>
      <c r="D113" s="1" t="s">
        <v>116</v>
      </c>
      <c r="E113" t="s">
        <v>60</v>
      </c>
      <c r="F113" t="s">
        <v>234</v>
      </c>
      <c r="G113" s="2"/>
      <c r="L113" s="1" t="s">
        <v>382</v>
      </c>
      <c r="M113" t="str">
        <f>IF(Fields[[#This Row],[Reference Entity]]&lt;&gt;"","t" &amp;Fields[[#This Row],[Reference Entity]],"")</f>
        <v/>
      </c>
      <c r="N113" t="str">
        <f>IF(Fields[[#This Row],[Reference Entity]]&lt;&gt;"",RIGHT(Fields[[#This Row],[Column Name]],LEN(Fields[[#This Row],[Column Name]])-2),"")</f>
        <v/>
      </c>
      <c r="P113" s="1"/>
      <c r="R113"/>
      <c r="S113"/>
    </row>
    <row r="114" spans="1:22" x14ac:dyDescent="0.3">
      <c r="A114">
        <v>1</v>
      </c>
      <c r="B114" t="s">
        <v>158</v>
      </c>
      <c r="C114" t="s">
        <v>5</v>
      </c>
      <c r="D114" s="1" t="s">
        <v>174</v>
      </c>
      <c r="E114" t="s">
        <v>488</v>
      </c>
      <c r="F114" t="s">
        <v>487</v>
      </c>
      <c r="G114" s="2"/>
      <c r="L114" s="1" t="s">
        <v>147</v>
      </c>
      <c r="M114" t="str">
        <f>IF(Fields[[#This Row],[Reference Entity]]&lt;&gt;"","t" &amp;Fields[[#This Row],[Reference Entity]],"")</f>
        <v>tClient</v>
      </c>
      <c r="N114" t="str">
        <f>IF(Fields[[#This Row],[Reference Entity]]&lt;&gt;"",RIGHT(Fields[[#This Row],[Column Name]],LEN(Fields[[#This Row],[Column Name]])-2),"")</f>
        <v>Client</v>
      </c>
      <c r="O114" t="s">
        <v>142</v>
      </c>
      <c r="P114" s="1"/>
      <c r="Q114" t="str">
        <f>Fields[[#This Row],[Column Name]]</f>
        <v>idClient</v>
      </c>
      <c r="R114"/>
      <c r="S114"/>
      <c r="V114" s="1"/>
    </row>
    <row r="115" spans="1:22" x14ac:dyDescent="0.3">
      <c r="A115">
        <v>2</v>
      </c>
      <c r="B115" t="s">
        <v>158</v>
      </c>
      <c r="C115" t="s">
        <v>505</v>
      </c>
      <c r="D115" s="1" t="s">
        <v>506</v>
      </c>
      <c r="E115" t="s">
        <v>488</v>
      </c>
      <c r="F115" t="s">
        <v>487</v>
      </c>
      <c r="G115" s="2"/>
      <c r="L115" s="1" t="s">
        <v>335</v>
      </c>
      <c r="M115" t="str">
        <f>IF(Fields[[#This Row],[Reference Entity]]&lt;&gt;"","t" &amp;Fields[[#This Row],[Reference Entity]],"")</f>
        <v>tAccount</v>
      </c>
      <c r="N115" t="str">
        <f>IF(Fields[[#This Row],[Reference Entity]]&lt;&gt;"",RIGHT(Fields[[#This Row],[Column Name]],LEN(Fields[[#This Row],[Column Name]])-2),"")</f>
        <v>AccountActivation</v>
      </c>
      <c r="P115" s="1"/>
      <c r="Q115" t="str">
        <f>Fields[[#This Row],[Column Name]]</f>
        <v>idAccountActivation</v>
      </c>
      <c r="R115"/>
      <c r="S115"/>
      <c r="U115" t="s">
        <v>508</v>
      </c>
      <c r="V115" s="1"/>
    </row>
    <row r="116" spans="1:22" ht="28.8" x14ac:dyDescent="0.3">
      <c r="A116">
        <v>3</v>
      </c>
      <c r="B116" t="s">
        <v>158</v>
      </c>
      <c r="C116" t="s">
        <v>185</v>
      </c>
      <c r="D116" s="1" t="s">
        <v>793</v>
      </c>
      <c r="E116" t="s">
        <v>488</v>
      </c>
      <c r="F116" t="s">
        <v>487</v>
      </c>
      <c r="G116" s="2"/>
      <c r="H116" t="s">
        <v>20</v>
      </c>
      <c r="L116" s="1" t="s">
        <v>335</v>
      </c>
      <c r="M116" t="str">
        <f>IF(Fields[[#This Row],[Reference Entity]]&lt;&gt;"","t" &amp;Fields[[#This Row],[Reference Entity]],"")</f>
        <v>tAccount</v>
      </c>
      <c r="N116" t="str">
        <f>IF(Fields[[#This Row],[Reference Entity]]&lt;&gt;"",RIGHT(Fields[[#This Row],[Column Name]],LEN(Fields[[#This Row],[Column Name]])-2),"")</f>
        <v>AccountDepreciation</v>
      </c>
      <c r="P116" s="1"/>
      <c r="Q116" t="str">
        <f>Fields[[#This Row],[Column Name]]</f>
        <v>idAccountDepreciation</v>
      </c>
      <c r="R116"/>
      <c r="S116"/>
      <c r="U116" t="s">
        <v>509</v>
      </c>
      <c r="V116" s="1"/>
    </row>
    <row r="117" spans="1:22" x14ac:dyDescent="0.3">
      <c r="A117">
        <v>4</v>
      </c>
      <c r="B117" t="s">
        <v>158</v>
      </c>
      <c r="C117" t="s">
        <v>306</v>
      </c>
      <c r="D117" s="1"/>
      <c r="E117" t="s">
        <v>19</v>
      </c>
      <c r="F117" t="s">
        <v>239</v>
      </c>
      <c r="G117" s="2">
        <v>50</v>
      </c>
      <c r="J117" s="1"/>
      <c r="L117" s="1" t="s">
        <v>382</v>
      </c>
      <c r="M117" t="str">
        <f>IF(Fields[[#This Row],[Reference Entity]]&lt;&gt;"","t" &amp;Fields[[#This Row],[Reference Entity]],"")</f>
        <v/>
      </c>
      <c r="N117" t="str">
        <f>IF(Fields[[#This Row],[Reference Entity]]&lt;&gt;"",RIGHT(Fields[[#This Row],[Column Name]],LEN(Fields[[#This Row],[Column Name]])-2),"")</f>
        <v/>
      </c>
      <c r="P117" s="1"/>
      <c r="Q117" s="1"/>
      <c r="T117" s="1"/>
      <c r="U117" s="1"/>
    </row>
    <row r="118" spans="1:22" x14ac:dyDescent="0.3">
      <c r="A118">
        <v>5</v>
      </c>
      <c r="B118" t="s">
        <v>158</v>
      </c>
      <c r="C118" t="s">
        <v>183</v>
      </c>
      <c r="D118" s="1"/>
      <c r="E118" t="s">
        <v>30</v>
      </c>
      <c r="F118" t="s">
        <v>4</v>
      </c>
      <c r="G118" s="2"/>
      <c r="J118" s="1"/>
      <c r="L118" s="1" t="s">
        <v>382</v>
      </c>
      <c r="M118" t="str">
        <f>IF(Fields[[#This Row],[Reference Entity]]&lt;&gt;"","t" &amp;Fields[[#This Row],[Reference Entity]],"")</f>
        <v/>
      </c>
      <c r="N118" t="str">
        <f>IF(Fields[[#This Row],[Reference Entity]]&lt;&gt;"",RIGHT(Fields[[#This Row],[Column Name]],LEN(Fields[[#This Row],[Column Name]])-2),"")</f>
        <v/>
      </c>
      <c r="P118" s="1"/>
      <c r="Q118" s="1"/>
      <c r="T118" s="1"/>
      <c r="U118" s="1"/>
    </row>
    <row r="119" spans="1:22" x14ac:dyDescent="0.3">
      <c r="A119">
        <v>6</v>
      </c>
      <c r="B119" t="s">
        <v>158</v>
      </c>
      <c r="C119" t="s">
        <v>184</v>
      </c>
      <c r="D119" s="1"/>
      <c r="E119" t="s">
        <v>30</v>
      </c>
      <c r="F119" t="s">
        <v>4</v>
      </c>
      <c r="G119" s="2"/>
      <c r="I119">
        <v>1</v>
      </c>
      <c r="J119" s="1"/>
      <c r="L119" s="1" t="s">
        <v>382</v>
      </c>
      <c r="M119" t="str">
        <f>IF(Fields[[#This Row],[Reference Entity]]&lt;&gt;"","t" &amp;Fields[[#This Row],[Reference Entity]],"")</f>
        <v/>
      </c>
      <c r="N119" t="str">
        <f>IF(Fields[[#This Row],[Reference Entity]]&lt;&gt;"",RIGHT(Fields[[#This Row],[Column Name]],LEN(Fields[[#This Row],[Column Name]])-2),"")</f>
        <v/>
      </c>
      <c r="P119" s="1"/>
      <c r="Q119" s="1"/>
      <c r="T119" s="1"/>
      <c r="U119" s="1"/>
    </row>
    <row r="120" spans="1:22" x14ac:dyDescent="0.3">
      <c r="A120">
        <v>7</v>
      </c>
      <c r="B120" t="s">
        <v>158</v>
      </c>
      <c r="C120" t="s">
        <v>319</v>
      </c>
      <c r="D120" s="1" t="s">
        <v>187</v>
      </c>
      <c r="E120" t="s">
        <v>124</v>
      </c>
      <c r="F120" t="s">
        <v>233</v>
      </c>
      <c r="G120" s="2"/>
      <c r="J120" s="1"/>
      <c r="K120" s="5" t="s">
        <v>186</v>
      </c>
      <c r="L120" s="1" t="s">
        <v>382</v>
      </c>
      <c r="M120" t="str">
        <f>IF(Fields[[#This Row],[Reference Entity]]&lt;&gt;"","t" &amp;Fields[[#This Row],[Reference Entity]],"")</f>
        <v/>
      </c>
      <c r="N120" t="str">
        <f>IF(Fields[[#This Row],[Reference Entity]]&lt;&gt;"",RIGHT(Fields[[#This Row],[Column Name]],LEN(Fields[[#This Row],[Column Name]])-2),"")</f>
        <v/>
      </c>
      <c r="P120" s="1"/>
      <c r="Q120" s="1"/>
      <c r="T120" s="1"/>
      <c r="U120" s="1"/>
    </row>
    <row r="121" spans="1:22" x14ac:dyDescent="0.3">
      <c r="A121">
        <v>1</v>
      </c>
      <c r="B121" t="s">
        <v>762</v>
      </c>
      <c r="C121" t="s">
        <v>5</v>
      </c>
      <c r="D121" s="1"/>
      <c r="E121" t="s">
        <v>488</v>
      </c>
      <c r="F121" t="s">
        <v>487</v>
      </c>
      <c r="G121" s="2"/>
      <c r="L121" s="1" t="s">
        <v>147</v>
      </c>
      <c r="M121" t="str">
        <f>IF(Fields[[#This Row],[Reference Entity]]&lt;&gt;"","t" &amp;Fields[[#This Row],[Reference Entity]],"")</f>
        <v>tClient</v>
      </c>
      <c r="N121" t="s">
        <v>147</v>
      </c>
      <c r="O121" t="s">
        <v>142</v>
      </c>
      <c r="P121" s="1"/>
      <c r="T121" s="1"/>
      <c r="U121" s="1"/>
    </row>
    <row r="122" spans="1:22" x14ac:dyDescent="0.3">
      <c r="A122">
        <v>2</v>
      </c>
      <c r="B122" t="s">
        <v>762</v>
      </c>
      <c r="C122" t="s">
        <v>543</v>
      </c>
      <c r="D122" s="1"/>
      <c r="E122" t="s">
        <v>488</v>
      </c>
      <c r="F122" t="s">
        <v>487</v>
      </c>
      <c r="G122" s="2"/>
      <c r="H122" t="s">
        <v>20</v>
      </c>
      <c r="L122" s="1" t="s">
        <v>527</v>
      </c>
      <c r="M122" t="str">
        <f>IF(Fields[[#This Row],[Reference Entity]]&lt;&gt;"","t" &amp;Fields[[#This Row],[Reference Entity]],"")</f>
        <v>tUser</v>
      </c>
      <c r="N122" t="s">
        <v>527</v>
      </c>
      <c r="P122" s="1"/>
      <c r="T122" s="1"/>
      <c r="U122" s="1"/>
    </row>
    <row r="123" spans="1:22" x14ac:dyDescent="0.3">
      <c r="A123">
        <v>3</v>
      </c>
      <c r="B123" t="s">
        <v>762</v>
      </c>
      <c r="C123" t="s">
        <v>763</v>
      </c>
      <c r="D123" s="1"/>
      <c r="E123" t="s">
        <v>124</v>
      </c>
      <c r="F123" t="s">
        <v>233</v>
      </c>
      <c r="G123" s="2"/>
      <c r="K123" s="1" t="s">
        <v>763</v>
      </c>
      <c r="L123" s="1"/>
      <c r="M123" t="str">
        <f>IF(Fields[[#This Row],[Reference Entity]]&lt;&gt;"","t" &amp;Fields[[#This Row],[Reference Entity]],"")</f>
        <v/>
      </c>
      <c r="P123" s="1"/>
      <c r="T123" s="1"/>
      <c r="U123" s="1"/>
    </row>
    <row r="124" spans="1:22" x14ac:dyDescent="0.3">
      <c r="A124">
        <v>4</v>
      </c>
      <c r="B124" t="s">
        <v>762</v>
      </c>
      <c r="C124" t="s">
        <v>764</v>
      </c>
      <c r="D124" s="1"/>
      <c r="E124" t="s">
        <v>17</v>
      </c>
      <c r="F124" t="s">
        <v>388</v>
      </c>
      <c r="G124" s="2"/>
      <c r="L124" s="1"/>
      <c r="M124" t="str">
        <f>IF(Fields[[#This Row],[Reference Entity]]&lt;&gt;"","t" &amp;Fields[[#This Row],[Reference Entity]],"")</f>
        <v/>
      </c>
      <c r="P124" s="1"/>
      <c r="T124" s="1"/>
      <c r="U124" s="1"/>
    </row>
    <row r="125" spans="1:22" x14ac:dyDescent="0.3">
      <c r="A125">
        <v>5</v>
      </c>
      <c r="B125" t="s">
        <v>762</v>
      </c>
      <c r="C125" t="s">
        <v>765</v>
      </c>
      <c r="D125" s="1"/>
      <c r="E125" t="s">
        <v>17</v>
      </c>
      <c r="F125" t="s">
        <v>388</v>
      </c>
      <c r="G125" s="2"/>
      <c r="H125" t="s">
        <v>20</v>
      </c>
      <c r="L125" s="1"/>
      <c r="M125" t="str">
        <f>IF(Fields[[#This Row],[Reference Entity]]&lt;&gt;"","t" &amp;Fields[[#This Row],[Reference Entity]],"")</f>
        <v/>
      </c>
      <c r="P125" s="1"/>
      <c r="T125" s="1"/>
      <c r="U125" s="1"/>
    </row>
    <row r="126" spans="1:22" x14ac:dyDescent="0.3">
      <c r="A126">
        <v>6</v>
      </c>
      <c r="B126" t="s">
        <v>762</v>
      </c>
      <c r="C126" t="s">
        <v>766</v>
      </c>
      <c r="D126" s="1"/>
      <c r="E126" t="s">
        <v>124</v>
      </c>
      <c r="F126" t="s">
        <v>233</v>
      </c>
      <c r="G126" s="2"/>
      <c r="K126" t="s">
        <v>766</v>
      </c>
      <c r="L126" s="1"/>
      <c r="M126" t="str">
        <f>IF(Fields[[#This Row],[Reference Entity]]&lt;&gt;"","t" &amp;Fields[[#This Row],[Reference Entity]],"")</f>
        <v/>
      </c>
      <c r="P126" s="1"/>
      <c r="T126" s="1"/>
      <c r="U126" s="1"/>
    </row>
    <row r="127" spans="1:22" x14ac:dyDescent="0.3">
      <c r="A127">
        <v>1</v>
      </c>
      <c r="B127" t="s">
        <v>773</v>
      </c>
      <c r="C127" t="s">
        <v>774</v>
      </c>
      <c r="D127" s="1"/>
      <c r="E127" t="s">
        <v>488</v>
      </c>
      <c r="F127" t="s">
        <v>487</v>
      </c>
      <c r="G127" s="2"/>
      <c r="L127" s="1" t="s">
        <v>760</v>
      </c>
      <c r="M127" t="str">
        <f>IF(Fields[[#This Row],[Reference Entity]]&lt;&gt;"","t" &amp;Fields[[#This Row],[Reference Entity]],"")</f>
        <v>tJobReport</v>
      </c>
      <c r="N127" t="s">
        <v>760</v>
      </c>
      <c r="O127" t="s">
        <v>142</v>
      </c>
      <c r="P127" s="1"/>
      <c r="T127" s="1"/>
      <c r="U127" s="1"/>
    </row>
    <row r="128" spans="1:22" x14ac:dyDescent="0.3">
      <c r="A128">
        <v>2</v>
      </c>
      <c r="B128" t="s">
        <v>773</v>
      </c>
      <c r="C128" t="s">
        <v>776</v>
      </c>
      <c r="D128" s="1"/>
      <c r="E128" t="s">
        <v>17</v>
      </c>
      <c r="F128" t="s">
        <v>388</v>
      </c>
      <c r="G128" s="2"/>
      <c r="L128" s="1"/>
      <c r="M128" t="str">
        <f>IF(Fields[[#This Row],[Reference Entity]]&lt;&gt;"","t" &amp;Fields[[#This Row],[Reference Entity]],"")</f>
        <v/>
      </c>
      <c r="P128" s="1"/>
      <c r="T128" s="1"/>
      <c r="U128" s="1"/>
    </row>
    <row r="129" spans="1:22" x14ac:dyDescent="0.3">
      <c r="A129">
        <v>3</v>
      </c>
      <c r="B129" t="s">
        <v>773</v>
      </c>
      <c r="C129" t="s">
        <v>766</v>
      </c>
      <c r="D129" s="1"/>
      <c r="E129" t="s">
        <v>124</v>
      </c>
      <c r="F129" t="s">
        <v>233</v>
      </c>
      <c r="G129" s="2"/>
      <c r="K129" t="s">
        <v>766</v>
      </c>
      <c r="L129" s="1"/>
      <c r="M129" t="str">
        <f>IF(Fields[[#This Row],[Reference Entity]]&lt;&gt;"","t" &amp;Fields[[#This Row],[Reference Entity]],"")</f>
        <v/>
      </c>
      <c r="P129" s="1"/>
      <c r="T129" s="1"/>
      <c r="U129" s="1"/>
    </row>
    <row r="130" spans="1:22" x14ac:dyDescent="0.3">
      <c r="A130">
        <v>4</v>
      </c>
      <c r="B130" t="s">
        <v>773</v>
      </c>
      <c r="C130" t="s">
        <v>777</v>
      </c>
      <c r="D130" s="1"/>
      <c r="E130" t="s">
        <v>30</v>
      </c>
      <c r="F130" t="s">
        <v>4</v>
      </c>
      <c r="G130" s="2"/>
      <c r="L130" s="1"/>
      <c r="M130" t="str">
        <f>IF(Fields[[#This Row],[Reference Entity]]&lt;&gt;"","t" &amp;Fields[[#This Row],[Reference Entity]],"")</f>
        <v/>
      </c>
      <c r="P130" s="1"/>
      <c r="T130" s="1"/>
      <c r="U130" s="1"/>
    </row>
    <row r="131" spans="1:22" x14ac:dyDescent="0.3">
      <c r="A131">
        <v>5</v>
      </c>
      <c r="B131" t="s">
        <v>773</v>
      </c>
      <c r="C131" t="s">
        <v>775</v>
      </c>
      <c r="D131" s="1"/>
      <c r="E131" t="s">
        <v>19</v>
      </c>
      <c r="F131" t="s">
        <v>239</v>
      </c>
      <c r="G131" s="2">
        <v>255</v>
      </c>
      <c r="H131" t="s">
        <v>20</v>
      </c>
      <c r="L131" s="1"/>
      <c r="M131" t="str">
        <f>IF(Fields[[#This Row],[Reference Entity]]&lt;&gt;"","t" &amp;Fields[[#This Row],[Reference Entity]],"")</f>
        <v/>
      </c>
      <c r="P131" s="1"/>
      <c r="T131" s="1"/>
      <c r="U131" s="1"/>
    </row>
    <row r="132" spans="1:22" x14ac:dyDescent="0.3">
      <c r="A132">
        <v>6</v>
      </c>
      <c r="B132" t="s">
        <v>773</v>
      </c>
      <c r="C132" t="s">
        <v>778</v>
      </c>
      <c r="D132" s="1"/>
      <c r="E132" t="s">
        <v>19</v>
      </c>
      <c r="F132" t="s">
        <v>239</v>
      </c>
      <c r="G132" s="2">
        <v>255</v>
      </c>
      <c r="H132" t="s">
        <v>20</v>
      </c>
      <c r="L132" s="1"/>
      <c r="M132" t="str">
        <f>IF(Fields[[#This Row],[Reference Entity]]&lt;&gt;"","t" &amp;Fields[[#This Row],[Reference Entity]],"")</f>
        <v/>
      </c>
      <c r="P132" s="1"/>
      <c r="T132" s="1"/>
      <c r="U132" s="1"/>
    </row>
    <row r="133" spans="1:22" x14ac:dyDescent="0.3">
      <c r="A133">
        <v>7</v>
      </c>
      <c r="B133" t="s">
        <v>773</v>
      </c>
      <c r="C133" t="s">
        <v>779</v>
      </c>
      <c r="D133" s="1"/>
      <c r="E133" t="s">
        <v>19</v>
      </c>
      <c r="F133" t="s">
        <v>239</v>
      </c>
      <c r="G133" s="2">
        <v>255</v>
      </c>
      <c r="H133" t="s">
        <v>20</v>
      </c>
      <c r="L133" s="1"/>
      <c r="M133" t="str">
        <f>IF(Fields[[#This Row],[Reference Entity]]&lt;&gt;"","t" &amp;Fields[[#This Row],[Reference Entity]],"")</f>
        <v/>
      </c>
      <c r="P133" s="1"/>
      <c r="T133" s="1"/>
      <c r="U133" s="1"/>
    </row>
    <row r="134" spans="1:22" x14ac:dyDescent="0.3">
      <c r="A134">
        <v>1</v>
      </c>
      <c r="B134" t="s">
        <v>35</v>
      </c>
      <c r="C134" t="s">
        <v>5</v>
      </c>
      <c r="D134" s="1" t="s">
        <v>10</v>
      </c>
      <c r="E134" t="s">
        <v>488</v>
      </c>
      <c r="F134" t="s">
        <v>487</v>
      </c>
      <c r="G134" s="2"/>
      <c r="L134" s="1" t="s">
        <v>147</v>
      </c>
      <c r="M134" t="str">
        <f>IF(Fields[[#This Row],[Reference Entity]]&lt;&gt;"","t" &amp;Fields[[#This Row],[Reference Entity]],"")</f>
        <v>tClient</v>
      </c>
      <c r="N134" t="str">
        <f>IF(Fields[[#This Row],[Reference Entity]]&lt;&gt;"",RIGHT(Fields[[#This Row],[Column Name]],LEN(Fields[[#This Row],[Column Name]])-2),"")</f>
        <v>Client</v>
      </c>
      <c r="O134" t="s">
        <v>142</v>
      </c>
      <c r="P134" s="1"/>
      <c r="Q134" t="str">
        <f>Fields[[#This Row],[Column Name]]</f>
        <v>idClient</v>
      </c>
      <c r="R134"/>
      <c r="S134"/>
    </row>
    <row r="135" spans="1:22" ht="43.2" x14ac:dyDescent="0.3">
      <c r="A135">
        <v>2</v>
      </c>
      <c r="B135" t="s">
        <v>35</v>
      </c>
      <c r="C135" t="s">
        <v>106</v>
      </c>
      <c r="D135" s="1" t="s">
        <v>107</v>
      </c>
      <c r="E135" t="s">
        <v>488</v>
      </c>
      <c r="F135" t="s">
        <v>487</v>
      </c>
      <c r="G135" s="2"/>
      <c r="H135" t="s">
        <v>20</v>
      </c>
      <c r="L135" s="1" t="s">
        <v>342</v>
      </c>
      <c r="M135" t="str">
        <f>IF(Fields[[#This Row],[Reference Entity]]&lt;&gt;"","t" &amp;Fields[[#This Row],[Reference Entity]],"")</f>
        <v>tPlan</v>
      </c>
      <c r="N135" t="str">
        <f>IF(Fields[[#This Row],[Reference Entity]]&lt;&gt;"",RIGHT(Fields[[#This Row],[Column Name]],LEN(Fields[[#This Row],[Column Name]])-2),"")</f>
        <v>PlanBase</v>
      </c>
      <c r="P135" s="1"/>
      <c r="Q135" t="str">
        <f>Fields[[#This Row],[Column Name]]</f>
        <v>idPlanBase</v>
      </c>
      <c r="R135"/>
      <c r="S135"/>
      <c r="T135" t="s">
        <v>20</v>
      </c>
      <c r="U135" t="s">
        <v>359</v>
      </c>
    </row>
    <row r="136" spans="1:22" x14ac:dyDescent="0.3">
      <c r="A136">
        <v>3</v>
      </c>
      <c r="B136" t="s">
        <v>35</v>
      </c>
      <c r="C136" t="s">
        <v>307</v>
      </c>
      <c r="D136" s="1" t="s">
        <v>38</v>
      </c>
      <c r="E136" t="s">
        <v>19</v>
      </c>
      <c r="F136" t="s">
        <v>239</v>
      </c>
      <c r="G136" s="2">
        <v>30</v>
      </c>
      <c r="L136" s="1" t="s">
        <v>382</v>
      </c>
      <c r="M136" t="str">
        <f>IF(Fields[[#This Row],[Reference Entity]]&lt;&gt;"","t" &amp;Fields[[#This Row],[Reference Entity]],"")</f>
        <v/>
      </c>
      <c r="N136" t="str">
        <f>IF(Fields[[#This Row],[Reference Entity]]&lt;&gt;"",RIGHT(Fields[[#This Row],[Column Name]],LEN(Fields[[#This Row],[Column Name]])-2),"")</f>
        <v/>
      </c>
      <c r="P136" s="1"/>
      <c r="R136"/>
      <c r="S136"/>
    </row>
    <row r="137" spans="1:22" ht="28.8" x14ac:dyDescent="0.3">
      <c r="A137">
        <v>4</v>
      </c>
      <c r="B137" t="s">
        <v>35</v>
      </c>
      <c r="C137" t="s">
        <v>280</v>
      </c>
      <c r="D137" s="1" t="s">
        <v>39</v>
      </c>
      <c r="E137" t="s">
        <v>17</v>
      </c>
      <c r="F137" t="s">
        <v>388</v>
      </c>
      <c r="G137" s="2"/>
      <c r="L137" s="1" t="s">
        <v>382</v>
      </c>
      <c r="M137" t="str">
        <f>IF(Fields[[#This Row],[Reference Entity]]&lt;&gt;"","t" &amp;Fields[[#This Row],[Reference Entity]],"")</f>
        <v/>
      </c>
      <c r="N137" t="str">
        <f>IF(Fields[[#This Row],[Reference Entity]]&lt;&gt;"",RIGHT(Fields[[#This Row],[Column Name]],LEN(Fields[[#This Row],[Column Name]])-2),"")</f>
        <v/>
      </c>
      <c r="P137" s="1"/>
      <c r="R137"/>
      <c r="S137"/>
    </row>
    <row r="138" spans="1:22" x14ac:dyDescent="0.3">
      <c r="A138">
        <v>5</v>
      </c>
      <c r="B138" t="s">
        <v>35</v>
      </c>
      <c r="C138" t="s">
        <v>281</v>
      </c>
      <c r="D138" s="1" t="s">
        <v>282</v>
      </c>
      <c r="E138" t="s">
        <v>17</v>
      </c>
      <c r="F138" t="s">
        <v>388</v>
      </c>
      <c r="G138" s="2"/>
      <c r="L138" s="1" t="s">
        <v>382</v>
      </c>
      <c r="M138" t="str">
        <f>IF(Fields[[#This Row],[Reference Entity]]&lt;&gt;"","t" &amp;Fields[[#This Row],[Reference Entity]],"")</f>
        <v/>
      </c>
      <c r="N138" t="str">
        <f>IF(Fields[[#This Row],[Reference Entity]]&lt;&gt;"",RIGHT(Fields[[#This Row],[Column Name]],LEN(Fields[[#This Row],[Column Name]])-2),"")</f>
        <v/>
      </c>
      <c r="P138" s="1"/>
      <c r="R138"/>
      <c r="S138"/>
    </row>
    <row r="139" spans="1:22" x14ac:dyDescent="0.3">
      <c r="A139">
        <v>6</v>
      </c>
      <c r="B139" t="s">
        <v>35</v>
      </c>
      <c r="C139" t="s">
        <v>855</v>
      </c>
      <c r="D139" s="1" t="s">
        <v>856</v>
      </c>
      <c r="E139" t="s">
        <v>17</v>
      </c>
      <c r="F139" t="s">
        <v>388</v>
      </c>
      <c r="G139" s="2"/>
      <c r="H139" t="s">
        <v>20</v>
      </c>
      <c r="L139" s="1"/>
      <c r="M139" t="str">
        <f>IF(Fields[[#This Row],[Reference Entity]]&lt;&gt;"","t" &amp;Fields[[#This Row],[Reference Entity]],"")</f>
        <v/>
      </c>
      <c r="P139" s="1"/>
      <c r="R139"/>
      <c r="S139"/>
    </row>
    <row r="140" spans="1:22" ht="28.8" x14ac:dyDescent="0.3">
      <c r="A140">
        <v>6</v>
      </c>
      <c r="B140" t="s">
        <v>35</v>
      </c>
      <c r="C140" t="s">
        <v>293</v>
      </c>
      <c r="D140" s="1" t="s">
        <v>47</v>
      </c>
      <c r="E140" t="s">
        <v>18</v>
      </c>
      <c r="F140" t="s">
        <v>6</v>
      </c>
      <c r="G140" s="2"/>
      <c r="I140">
        <v>0</v>
      </c>
      <c r="L140" s="1" t="s">
        <v>382</v>
      </c>
      <c r="M140" t="str">
        <f>IF(Fields[[#This Row],[Reference Entity]]&lt;&gt;"","t" &amp;Fields[[#This Row],[Reference Entity]],"")</f>
        <v/>
      </c>
      <c r="N140" t="str">
        <f>IF(Fields[[#This Row],[Reference Entity]]&lt;&gt;"",RIGHT(Fields[[#This Row],[Column Name]],LEN(Fields[[#This Row],[Column Name]])-2),"")</f>
        <v/>
      </c>
      <c r="P140" s="1" t="s">
        <v>49</v>
      </c>
      <c r="R140"/>
      <c r="S140"/>
    </row>
    <row r="141" spans="1:22" ht="43.2" x14ac:dyDescent="0.3">
      <c r="A141">
        <v>7</v>
      </c>
      <c r="B141" t="s">
        <v>35</v>
      </c>
      <c r="C141" t="s">
        <v>133</v>
      </c>
      <c r="D141" s="1" t="s">
        <v>134</v>
      </c>
      <c r="E141" t="s">
        <v>124</v>
      </c>
      <c r="F141" t="s">
        <v>233</v>
      </c>
      <c r="G141" s="2"/>
      <c r="I141">
        <v>3</v>
      </c>
      <c r="K141" t="s">
        <v>785</v>
      </c>
      <c r="L141" s="1" t="s">
        <v>382</v>
      </c>
      <c r="M141" t="str">
        <f>IF(Fields[[#This Row],[Reference Entity]]&lt;&gt;"","t" &amp;Fields[[#This Row],[Reference Entity]],"")</f>
        <v/>
      </c>
      <c r="N141" t="str">
        <f>IF(Fields[[#This Row],[Reference Entity]]&lt;&gt;"",RIGHT(Fields[[#This Row],[Column Name]],LEN(Fields[[#This Row],[Column Name]])-2),"")</f>
        <v/>
      </c>
      <c r="P141" s="1"/>
      <c r="R141"/>
      <c r="S141"/>
    </row>
    <row r="142" spans="1:22" x14ac:dyDescent="0.3">
      <c r="A142">
        <v>1</v>
      </c>
      <c r="B142" t="s">
        <v>181</v>
      </c>
      <c r="C142" t="s">
        <v>5</v>
      </c>
      <c r="D142" s="1" t="s">
        <v>174</v>
      </c>
      <c r="E142" t="s">
        <v>488</v>
      </c>
      <c r="F142" t="s">
        <v>487</v>
      </c>
      <c r="G142" s="2"/>
      <c r="L142" s="1" t="s">
        <v>147</v>
      </c>
      <c r="M142" t="str">
        <f>IF(Fields[[#This Row],[Reference Entity]]&lt;&gt;"","t" &amp;Fields[[#This Row],[Reference Entity]],"")</f>
        <v>tClient</v>
      </c>
      <c r="N142" t="str">
        <f>IF(Fields[[#This Row],[Reference Entity]]&lt;&gt;"",RIGHT(Fields[[#This Row],[Column Name]],LEN(Fields[[#This Row],[Column Name]])-2),"")</f>
        <v>Client</v>
      </c>
      <c r="O142" t="s">
        <v>142</v>
      </c>
      <c r="P142" s="1"/>
      <c r="Q142" t="str">
        <f>Fields[[#This Row],[Column Name]]</f>
        <v>idClient</v>
      </c>
      <c r="R142"/>
      <c r="S142"/>
      <c r="V142" s="1"/>
    </row>
    <row r="143" spans="1:22" ht="28.8" x14ac:dyDescent="0.3">
      <c r="A143">
        <v>2</v>
      </c>
      <c r="B143" t="s">
        <v>181</v>
      </c>
      <c r="C143" t="s">
        <v>481</v>
      </c>
      <c r="D143" s="1" t="s">
        <v>480</v>
      </c>
      <c r="E143" t="s">
        <v>16</v>
      </c>
      <c r="F143" t="s">
        <v>4</v>
      </c>
      <c r="G143" s="2"/>
      <c r="J143" s="1"/>
      <c r="K143" s="1" t="s">
        <v>481</v>
      </c>
      <c r="L143" s="1"/>
      <c r="P143" s="1"/>
      <c r="Q143" t="str">
        <f>Fields[[#This Row],[Column Name]]</f>
        <v>TypeAccountFunction</v>
      </c>
      <c r="S143"/>
      <c r="V143" t="s">
        <v>449</v>
      </c>
    </row>
    <row r="144" spans="1:22" x14ac:dyDescent="0.3">
      <c r="A144">
        <v>3</v>
      </c>
      <c r="B144" t="s">
        <v>181</v>
      </c>
      <c r="C144" t="s">
        <v>295</v>
      </c>
      <c r="D144" s="1" t="s">
        <v>182</v>
      </c>
      <c r="E144" t="s">
        <v>488</v>
      </c>
      <c r="F144" t="s">
        <v>487</v>
      </c>
      <c r="G144" s="2"/>
      <c r="J144" s="1"/>
      <c r="L144" s="1" t="s">
        <v>335</v>
      </c>
      <c r="M144" t="str">
        <f>IF(Fields[[#This Row],[Reference Entity]]&lt;&gt;"","t" &amp;Fields[[#This Row],[Reference Entity]],"")</f>
        <v>tAccount</v>
      </c>
      <c r="N144" t="str">
        <f>IF(Fields[[#This Row],[Reference Entity]]&lt;&gt;"",RIGHT(Fields[[#This Row],[Column Name]],LEN(Fields[[#This Row],[Column Name]])-2),"")</f>
        <v>AccountPlanAccountFunction</v>
      </c>
      <c r="P144" s="1"/>
      <c r="Q144" t="str">
        <f>Fields[[#This Row],[Column Name]]</f>
        <v>idAccountPlanAccountFunction</v>
      </c>
      <c r="S144"/>
    </row>
    <row r="145" spans="1:22" ht="43.2" x14ac:dyDescent="0.3">
      <c r="A145">
        <v>1</v>
      </c>
      <c r="B145" t="s">
        <v>63</v>
      </c>
      <c r="C145" t="s">
        <v>53</v>
      </c>
      <c r="D145" s="1" t="s">
        <v>71</v>
      </c>
      <c r="E145" t="s">
        <v>488</v>
      </c>
      <c r="F145" t="s">
        <v>487</v>
      </c>
      <c r="G145" s="2"/>
      <c r="L145" s="1" t="s">
        <v>342</v>
      </c>
      <c r="M145" t="str">
        <f>IF(Fields[[#This Row],[Reference Entity]]&lt;&gt;"","t" &amp;Fields[[#This Row],[Reference Entity]],"")</f>
        <v>tPlan</v>
      </c>
      <c r="N145" t="str">
        <f>IF(Fields[[#This Row],[Reference Entity]]&lt;&gt;"",RIGHT(Fields[[#This Row],[Column Name]],LEN(Fields[[#This Row],[Column Name]])-2),"")</f>
        <v>Plan</v>
      </c>
      <c r="O145" t="s">
        <v>142</v>
      </c>
      <c r="P145" s="1"/>
      <c r="Q145" t="str">
        <f>Fields[[#This Row],[Column Name]]</f>
        <v>idPlan</v>
      </c>
      <c r="R145"/>
      <c r="S145"/>
    </row>
    <row r="146" spans="1:22" x14ac:dyDescent="0.3">
      <c r="A146">
        <v>2</v>
      </c>
      <c r="B146" t="s">
        <v>63</v>
      </c>
      <c r="C146" t="s">
        <v>308</v>
      </c>
      <c r="D146" s="1" t="s">
        <v>99</v>
      </c>
      <c r="E146" t="s">
        <v>19</v>
      </c>
      <c r="F146" t="s">
        <v>239</v>
      </c>
      <c r="G146" s="2">
        <v>255</v>
      </c>
      <c r="L146" s="1" t="s">
        <v>382</v>
      </c>
      <c r="M146" t="str">
        <f>IF(Fields[[#This Row],[Reference Entity]]&lt;&gt;"","t" &amp;Fields[[#This Row],[Reference Entity]],"")</f>
        <v/>
      </c>
      <c r="N146" t="str">
        <f>IF(Fields[[#This Row],[Reference Entity]]&lt;&gt;"",RIGHT(Fields[[#This Row],[Column Name]],LEN(Fields[[#This Row],[Column Name]])-2),"")</f>
        <v/>
      </c>
      <c r="P146" s="1"/>
      <c r="R146"/>
      <c r="S146"/>
    </row>
    <row r="147" spans="1:22" ht="28.8" x14ac:dyDescent="0.3">
      <c r="A147">
        <v>3</v>
      </c>
      <c r="B147" t="s">
        <v>63</v>
      </c>
      <c r="C147" t="s">
        <v>95</v>
      </c>
      <c r="D147" s="1" t="s">
        <v>596</v>
      </c>
      <c r="E147" t="s">
        <v>30</v>
      </c>
      <c r="F147" t="s">
        <v>4</v>
      </c>
      <c r="G147" s="2"/>
      <c r="I147">
        <v>1</v>
      </c>
      <c r="K147" s="1" t="s">
        <v>597</v>
      </c>
      <c r="L147" s="1" t="s">
        <v>382</v>
      </c>
      <c r="M147" t="str">
        <f>IF(Fields[[#This Row],[Reference Entity]]&lt;&gt;"","t" &amp;Fields[[#This Row],[Reference Entity]],"")</f>
        <v/>
      </c>
      <c r="N147" t="str">
        <f>IF(Fields[[#This Row],[Reference Entity]]&lt;&gt;"",RIGHT(Fields[[#This Row],[Column Name]],LEN(Fields[[#This Row],[Column Name]])-2),"")</f>
        <v/>
      </c>
      <c r="P147" s="1"/>
      <c r="R147"/>
      <c r="S147"/>
    </row>
    <row r="148" spans="1:22" x14ac:dyDescent="0.3">
      <c r="A148">
        <v>4</v>
      </c>
      <c r="B148" t="s">
        <v>63</v>
      </c>
      <c r="C148" t="s">
        <v>102</v>
      </c>
      <c r="D148" s="1" t="s">
        <v>104</v>
      </c>
      <c r="E148" t="s">
        <v>60</v>
      </c>
      <c r="F148" t="s">
        <v>234</v>
      </c>
      <c r="G148" s="2"/>
      <c r="L148" s="1" t="s">
        <v>382</v>
      </c>
      <c r="M148" t="str">
        <f>IF(Fields[[#This Row],[Reference Entity]]&lt;&gt;"","t" &amp;Fields[[#This Row],[Reference Entity]],"")</f>
        <v/>
      </c>
      <c r="N148" t="str">
        <f>IF(Fields[[#This Row],[Reference Entity]]&lt;&gt;"",RIGHT(Fields[[#This Row],[Column Name]],LEN(Fields[[#This Row],[Column Name]])-2),"")</f>
        <v/>
      </c>
      <c r="P148" s="1"/>
      <c r="R148"/>
      <c r="S148"/>
    </row>
    <row r="149" spans="1:22" x14ac:dyDescent="0.3">
      <c r="A149">
        <v>5</v>
      </c>
      <c r="B149" t="s">
        <v>63</v>
      </c>
      <c r="C149" t="s">
        <v>424</v>
      </c>
      <c r="D149" s="1" t="s">
        <v>425</v>
      </c>
      <c r="E149" t="s">
        <v>18</v>
      </c>
      <c r="F149" t="s">
        <v>6</v>
      </c>
      <c r="G149" s="2"/>
      <c r="L149" s="1"/>
      <c r="M149" t="str">
        <f>IF(Fields[[#This Row],[Reference Entity]]&lt;&gt;"","t" &amp;Fields[[#This Row],[Reference Entity]],"")</f>
        <v/>
      </c>
      <c r="P149" s="1"/>
      <c r="R149"/>
      <c r="S149"/>
    </row>
    <row r="150" spans="1:22" x14ac:dyDescent="0.3">
      <c r="A150">
        <v>6</v>
      </c>
      <c r="B150" t="s">
        <v>63</v>
      </c>
      <c r="C150" t="s">
        <v>808</v>
      </c>
      <c r="D150" s="1" t="s">
        <v>807</v>
      </c>
      <c r="E150" t="s">
        <v>18</v>
      </c>
      <c r="F150" t="s">
        <v>6</v>
      </c>
      <c r="G150" s="2"/>
      <c r="I150">
        <v>0</v>
      </c>
      <c r="L150" s="1"/>
      <c r="M150" t="str">
        <f>IF(Fields[[#This Row],[Reference Entity]]&lt;&gt;"","t" &amp;Fields[[#This Row],[Reference Entity]],"")</f>
        <v/>
      </c>
      <c r="P150" s="1"/>
      <c r="T150" s="1"/>
      <c r="U150" s="1"/>
    </row>
    <row r="151" spans="1:22" ht="43.2" x14ac:dyDescent="0.3">
      <c r="A151">
        <v>7</v>
      </c>
      <c r="B151" t="s">
        <v>63</v>
      </c>
      <c r="C151" t="s">
        <v>559</v>
      </c>
      <c r="D151" s="1" t="s">
        <v>558</v>
      </c>
      <c r="E151" t="s">
        <v>30</v>
      </c>
      <c r="F151" t="s">
        <v>4</v>
      </c>
      <c r="G151" s="2"/>
      <c r="I151">
        <v>0</v>
      </c>
      <c r="L151" s="1"/>
      <c r="M151" t="str">
        <f>IF(Fields[[#This Row],[Reference Entity]]&lt;&gt;"","t" &amp;Fields[[#This Row],[Reference Entity]],"")</f>
        <v/>
      </c>
      <c r="P151" s="1"/>
      <c r="R151"/>
      <c r="S151"/>
      <c r="V151" t="s">
        <v>469</v>
      </c>
    </row>
    <row r="152" spans="1:22" x14ac:dyDescent="0.3">
      <c r="A152">
        <v>8</v>
      </c>
      <c r="B152" t="s">
        <v>63</v>
      </c>
      <c r="C152" t="s">
        <v>588</v>
      </c>
      <c r="D152" s="1" t="s">
        <v>589</v>
      </c>
      <c r="E152" t="s">
        <v>18</v>
      </c>
      <c r="F152" t="s">
        <v>6</v>
      </c>
      <c r="G152" s="2"/>
      <c r="I152">
        <v>0</v>
      </c>
      <c r="L152" s="1"/>
      <c r="M152" t="str">
        <f>IF(Fields[[#This Row],[Reference Entity]]&lt;&gt;"","t" &amp;Fields[[#This Row],[Reference Entity]],"")</f>
        <v/>
      </c>
      <c r="P152" s="1"/>
      <c r="R152"/>
      <c r="S152"/>
    </row>
    <row r="153" spans="1:22" x14ac:dyDescent="0.3">
      <c r="A153">
        <v>9</v>
      </c>
      <c r="B153" t="s">
        <v>63</v>
      </c>
      <c r="C153" t="s">
        <v>590</v>
      </c>
      <c r="D153" s="1" t="s">
        <v>598</v>
      </c>
      <c r="E153" t="s">
        <v>124</v>
      </c>
      <c r="F153" t="s">
        <v>233</v>
      </c>
      <c r="G153" s="2"/>
      <c r="H153" t="s">
        <v>20</v>
      </c>
      <c r="L153" s="1"/>
      <c r="M153" t="str">
        <f>IF(Fields[[#This Row],[Reference Entity]]&lt;&gt;"","t" &amp;Fields[[#This Row],[Reference Entity]],"")</f>
        <v/>
      </c>
      <c r="P153" s="1"/>
      <c r="R153"/>
      <c r="S153"/>
    </row>
    <row r="154" spans="1:22" x14ac:dyDescent="0.3">
      <c r="A154">
        <v>10</v>
      </c>
      <c r="B154" t="s">
        <v>63</v>
      </c>
      <c r="C154" t="s">
        <v>591</v>
      </c>
      <c r="D154" s="1" t="s">
        <v>599</v>
      </c>
      <c r="E154" t="s">
        <v>60</v>
      </c>
      <c r="F154" t="s">
        <v>234</v>
      </c>
      <c r="G154" s="2"/>
      <c r="H154" t="s">
        <v>20</v>
      </c>
      <c r="L154" s="1"/>
      <c r="M154" t="str">
        <f>IF(Fields[[#This Row],[Reference Entity]]&lt;&gt;"","t" &amp;Fields[[#This Row],[Reference Entity]],"")</f>
        <v/>
      </c>
      <c r="P154" s="1"/>
      <c r="R154"/>
      <c r="S154"/>
    </row>
    <row r="155" spans="1:22" x14ac:dyDescent="0.3">
      <c r="A155">
        <v>11</v>
      </c>
      <c r="B155" t="s">
        <v>63</v>
      </c>
      <c r="C155" t="s">
        <v>592</v>
      </c>
      <c r="D155" s="1" t="s">
        <v>600</v>
      </c>
      <c r="E155" t="s">
        <v>124</v>
      </c>
      <c r="F155" t="s">
        <v>233</v>
      </c>
      <c r="G155" s="2"/>
      <c r="H155" t="s">
        <v>20</v>
      </c>
      <c r="L155" s="1"/>
      <c r="M155" t="str">
        <f>IF(Fields[[#This Row],[Reference Entity]]&lt;&gt;"","t" &amp;Fields[[#This Row],[Reference Entity]],"")</f>
        <v/>
      </c>
      <c r="P155" s="1"/>
      <c r="R155"/>
      <c r="S155"/>
    </row>
    <row r="156" spans="1:22" x14ac:dyDescent="0.3">
      <c r="A156">
        <v>13</v>
      </c>
      <c r="B156" t="s">
        <v>63</v>
      </c>
      <c r="C156" t="s">
        <v>593</v>
      </c>
      <c r="D156" s="1" t="s">
        <v>601</v>
      </c>
      <c r="E156" t="s">
        <v>60</v>
      </c>
      <c r="F156" t="s">
        <v>234</v>
      </c>
      <c r="G156" s="2"/>
      <c r="H156" t="s">
        <v>20</v>
      </c>
      <c r="L156" s="1"/>
      <c r="M156" t="str">
        <f>IF(Fields[[#This Row],[Reference Entity]]&lt;&gt;"","t" &amp;Fields[[#This Row],[Reference Entity]],"")</f>
        <v/>
      </c>
      <c r="P156" s="1"/>
      <c r="R156"/>
      <c r="S156"/>
    </row>
    <row r="157" spans="1:22" x14ac:dyDescent="0.3">
      <c r="A157">
        <v>14</v>
      </c>
      <c r="B157" t="s">
        <v>63</v>
      </c>
      <c r="C157" t="s">
        <v>594</v>
      </c>
      <c r="D157" s="1" t="s">
        <v>602</v>
      </c>
      <c r="E157" t="s">
        <v>124</v>
      </c>
      <c r="F157" t="s">
        <v>233</v>
      </c>
      <c r="G157" s="2"/>
      <c r="H157" t="s">
        <v>20</v>
      </c>
      <c r="L157" s="1"/>
      <c r="M157" t="str">
        <f>IF(Fields[[#This Row],[Reference Entity]]&lt;&gt;"","t" &amp;Fields[[#This Row],[Reference Entity]],"")</f>
        <v/>
      </c>
      <c r="P157" s="1"/>
      <c r="R157"/>
      <c r="S157"/>
    </row>
    <row r="158" spans="1:22" x14ac:dyDescent="0.3">
      <c r="A158">
        <v>15</v>
      </c>
      <c r="B158" t="s">
        <v>63</v>
      </c>
      <c r="C158" t="s">
        <v>595</v>
      </c>
      <c r="D158" s="1" t="s">
        <v>603</v>
      </c>
      <c r="E158" t="s">
        <v>60</v>
      </c>
      <c r="F158" t="s">
        <v>234</v>
      </c>
      <c r="G158" s="2"/>
      <c r="H158" t="s">
        <v>20</v>
      </c>
      <c r="L158" s="1"/>
      <c r="M158" t="str">
        <f>IF(Fields[[#This Row],[Reference Entity]]&lt;&gt;"","t" &amp;Fields[[#This Row],[Reference Entity]],"")</f>
        <v/>
      </c>
      <c r="P158" s="1"/>
      <c r="R158"/>
      <c r="S158"/>
    </row>
    <row r="159" spans="1:22" x14ac:dyDescent="0.3">
      <c r="A159">
        <v>1</v>
      </c>
      <c r="B159" t="s">
        <v>96</v>
      </c>
      <c r="C159" t="s">
        <v>97</v>
      </c>
      <c r="D159" s="1" t="s">
        <v>100</v>
      </c>
      <c r="E159" t="s">
        <v>488</v>
      </c>
      <c r="F159" t="s">
        <v>487</v>
      </c>
      <c r="G159" s="2"/>
      <c r="L159" s="1" t="s">
        <v>345</v>
      </c>
      <c r="M159" t="str">
        <f>IF(Fields[[#This Row],[Reference Entity]]&lt;&gt;"","t" &amp;Fields[[#This Row],[Reference Entity]],"")</f>
        <v>tPlanAllocationSchedule</v>
      </c>
      <c r="N159" t="str">
        <f>IF(Fields[[#This Row],[Reference Entity]]&lt;&gt;"",RIGHT(Fields[[#This Row],[Column Name]],LEN(Fields[[#This Row],[Column Name]])-2),"")</f>
        <v>PlanAllocationSchedule</v>
      </c>
      <c r="P159" s="1"/>
      <c r="Q159" t="str">
        <f>Fields[[#This Row],[Column Name]]</f>
        <v>idPlanAllocationSchedule</v>
      </c>
      <c r="R159" t="s">
        <v>20</v>
      </c>
      <c r="S159"/>
    </row>
    <row r="160" spans="1:22" x14ac:dyDescent="0.3">
      <c r="A160">
        <v>2</v>
      </c>
      <c r="B160" t="s">
        <v>96</v>
      </c>
      <c r="C160" t="s">
        <v>29</v>
      </c>
      <c r="D160" s="1" t="s">
        <v>101</v>
      </c>
      <c r="E160" t="s">
        <v>30</v>
      </c>
      <c r="F160" t="s">
        <v>4</v>
      </c>
      <c r="G160" s="2"/>
      <c r="L160" s="1" t="s">
        <v>382</v>
      </c>
      <c r="M160" t="str">
        <f>IF(Fields[[#This Row],[Reference Entity]]&lt;&gt;"","t" &amp;Fields[[#This Row],[Reference Entity]],"")</f>
        <v/>
      </c>
      <c r="N160" t="str">
        <f>IF(Fields[[#This Row],[Reference Entity]]&lt;&gt;"",RIGHT(Fields[[#This Row],[Column Name]],LEN(Fields[[#This Row],[Column Name]])-2),"")</f>
        <v/>
      </c>
      <c r="P160" s="1"/>
      <c r="Q160" t="s">
        <v>97</v>
      </c>
      <c r="R160" t="s">
        <v>20</v>
      </c>
      <c r="S160"/>
    </row>
    <row r="161" spans="1:22" x14ac:dyDescent="0.3">
      <c r="A161">
        <v>3</v>
      </c>
      <c r="B161" t="s">
        <v>96</v>
      </c>
      <c r="C161" t="s">
        <v>98</v>
      </c>
      <c r="D161" s="1" t="s">
        <v>103</v>
      </c>
      <c r="E161" t="s">
        <v>60</v>
      </c>
      <c r="F161" t="s">
        <v>234</v>
      </c>
      <c r="G161" s="2"/>
      <c r="L161" s="1" t="s">
        <v>382</v>
      </c>
      <c r="M161" t="str">
        <f>IF(Fields[[#This Row],[Reference Entity]]&lt;&gt;"","t" &amp;Fields[[#This Row],[Reference Entity]],"")</f>
        <v/>
      </c>
      <c r="N161" t="str">
        <f>IF(Fields[[#This Row],[Reference Entity]]&lt;&gt;"",RIGHT(Fields[[#This Row],[Column Name]],LEN(Fields[[#This Row],[Column Name]])-2),"")</f>
        <v/>
      </c>
      <c r="P161" s="1"/>
      <c r="R161"/>
      <c r="S161"/>
    </row>
    <row r="162" spans="1:22" x14ac:dyDescent="0.3">
      <c r="A162">
        <v>1</v>
      </c>
      <c r="B162" t="s">
        <v>7</v>
      </c>
      <c r="C162" t="s">
        <v>5</v>
      </c>
      <c r="D162" s="1" t="s">
        <v>10</v>
      </c>
      <c r="E162" t="s">
        <v>488</v>
      </c>
      <c r="F162" t="s">
        <v>487</v>
      </c>
      <c r="G162" s="2"/>
      <c r="L162" s="1" t="s">
        <v>147</v>
      </c>
      <c r="M162" t="str">
        <f>IF(Fields[[#This Row],[Reference Entity]]&lt;&gt;"","t" &amp;Fields[[#This Row],[Reference Entity]],"")</f>
        <v>tClient</v>
      </c>
      <c r="N162" t="str">
        <f>IF(Fields[[#This Row],[Reference Entity]]&lt;&gt;"",RIGHT(Fields[[#This Row],[Column Name]],LEN(Fields[[#This Row],[Column Name]])-2),"")</f>
        <v>Client</v>
      </c>
      <c r="O162" t="s">
        <v>142</v>
      </c>
      <c r="P162" s="1"/>
      <c r="Q162" t="str">
        <f>Fields[[#This Row],[Column Name]]</f>
        <v>idClient</v>
      </c>
      <c r="R162"/>
      <c r="S162"/>
    </row>
    <row r="163" spans="1:22" x14ac:dyDescent="0.3">
      <c r="A163">
        <v>2</v>
      </c>
      <c r="B163" t="s">
        <v>7</v>
      </c>
      <c r="C163" t="s">
        <v>297</v>
      </c>
      <c r="D163" s="1" t="s">
        <v>11</v>
      </c>
      <c r="E163" t="s">
        <v>488</v>
      </c>
      <c r="F163" t="s">
        <v>487</v>
      </c>
      <c r="G163" s="2"/>
      <c r="H163" t="s">
        <v>20</v>
      </c>
      <c r="L163" s="1" t="s">
        <v>337</v>
      </c>
      <c r="M163" t="str">
        <f>IF(Fields[[#This Row],[Reference Entity]]&lt;&gt;"","t" &amp;Fields[[#This Row],[Reference Entity]],"")</f>
        <v>tCostCenter</v>
      </c>
      <c r="N163" t="str">
        <f>IF(Fields[[#This Row],[Reference Entity]]&lt;&gt;"",RIGHT(Fields[[#This Row],[Column Name]],LEN(Fields[[#This Row],[Column Name]])-2),"")</f>
        <v>CostCenterPlanElement</v>
      </c>
      <c r="P163" s="1"/>
      <c r="Q163" t="str">
        <f>Fields[[#This Row],[Column Name]]</f>
        <v>idCostCenterPlanElement</v>
      </c>
      <c r="R163"/>
      <c r="S163"/>
    </row>
    <row r="164" spans="1:22" ht="28.8" x14ac:dyDescent="0.3">
      <c r="A164">
        <v>3</v>
      </c>
      <c r="B164" t="s">
        <v>7</v>
      </c>
      <c r="C164" t="s">
        <v>519</v>
      </c>
      <c r="D164" s="1" t="s">
        <v>518</v>
      </c>
      <c r="E164" t="s">
        <v>488</v>
      </c>
      <c r="F164" t="s">
        <v>487</v>
      </c>
      <c r="G164" s="2"/>
      <c r="H164" t="s">
        <v>20</v>
      </c>
      <c r="L164" s="1" t="s">
        <v>333</v>
      </c>
      <c r="M164" t="str">
        <f>IF(Fields[[#This Row],[Reference Entity]]&lt;&gt;"","t" &amp;Fields[[#This Row],[Reference Entity]],"")</f>
        <v>tCurrency</v>
      </c>
      <c r="N164" t="str">
        <f>IF(Fields[[#This Row],[Reference Entity]]&lt;&gt;"",RIGHT(Fields[[#This Row],[Column Name]],LEN(Fields[[#This Row],[Column Name]])-2),"")</f>
        <v>Currency</v>
      </c>
      <c r="P164" s="1"/>
      <c r="Q164" t="str">
        <f>Fields[[#This Row],[Column Name]]</f>
        <v>idCurrency</v>
      </c>
      <c r="T164" s="1"/>
      <c r="U164" s="1"/>
      <c r="V164" t="s">
        <v>469</v>
      </c>
    </row>
    <row r="165" spans="1:22" x14ac:dyDescent="0.3">
      <c r="A165">
        <v>4</v>
      </c>
      <c r="B165" t="s">
        <v>7</v>
      </c>
      <c r="C165" t="s">
        <v>320</v>
      </c>
      <c r="D165" s="1" t="s">
        <v>12</v>
      </c>
      <c r="E165" t="s">
        <v>124</v>
      </c>
      <c r="F165" t="s">
        <v>233</v>
      </c>
      <c r="G165" s="2"/>
      <c r="I165">
        <v>0</v>
      </c>
      <c r="K165" s="1" t="s">
        <v>320</v>
      </c>
      <c r="L165" s="1" t="s">
        <v>382</v>
      </c>
      <c r="M165" t="str">
        <f>IF(Fields[[#This Row],[Reference Entity]]&lt;&gt;"","t" &amp;Fields[[#This Row],[Reference Entity]],"")</f>
        <v/>
      </c>
      <c r="N165" t="str">
        <f>IF(Fields[[#This Row],[Reference Entity]]&lt;&gt;"",RIGHT(Fields[[#This Row],[Column Name]],LEN(Fields[[#This Row],[Column Name]])-2),"")</f>
        <v/>
      </c>
      <c r="P165" s="1"/>
      <c r="R165"/>
      <c r="S165"/>
    </row>
    <row r="166" spans="1:22" ht="28.8" x14ac:dyDescent="0.3">
      <c r="A166">
        <v>5</v>
      </c>
      <c r="B166" t="s">
        <v>7</v>
      </c>
      <c r="C166" t="s">
        <v>41</v>
      </c>
      <c r="D166" s="1" t="s">
        <v>42</v>
      </c>
      <c r="E166" t="s">
        <v>488</v>
      </c>
      <c r="F166" t="s">
        <v>487</v>
      </c>
      <c r="G166" s="2"/>
      <c r="H166" t="s">
        <v>20</v>
      </c>
      <c r="L166" s="1" t="s">
        <v>344</v>
      </c>
      <c r="M166" t="str">
        <f>IF(Fields[[#This Row],[Reference Entity]]&lt;&gt;"","t" &amp;Fields[[#This Row],[Reference Entity]],"")</f>
        <v>tPlanGroup</v>
      </c>
      <c r="N166" t="str">
        <f>IF(Fields[[#This Row],[Reference Entity]]&lt;&gt;"",RIGHT(Fields[[#This Row],[Column Name]],LEN(Fields[[#This Row],[Column Name]])-2),"")</f>
        <v>PlanGroup</v>
      </c>
      <c r="P166" s="1"/>
      <c r="Q166" t="str">
        <f>Fields[[#This Row],[Column Name]]</f>
        <v>idPlanGroup</v>
      </c>
      <c r="R166"/>
      <c r="S166"/>
    </row>
    <row r="167" spans="1:22" x14ac:dyDescent="0.3">
      <c r="A167">
        <v>6</v>
      </c>
      <c r="B167" t="s">
        <v>7</v>
      </c>
      <c r="C167" t="s">
        <v>309</v>
      </c>
      <c r="D167" s="1" t="s">
        <v>44</v>
      </c>
      <c r="E167" t="s">
        <v>19</v>
      </c>
      <c r="F167" t="s">
        <v>239</v>
      </c>
      <c r="G167" s="2">
        <v>50</v>
      </c>
      <c r="L167" s="1" t="s">
        <v>382</v>
      </c>
      <c r="M167" t="str">
        <f>IF(Fields[[#This Row],[Reference Entity]]&lt;&gt;"","t" &amp;Fields[[#This Row],[Reference Entity]],"")</f>
        <v/>
      </c>
      <c r="N167" t="str">
        <f>IF(Fields[[#This Row],[Reference Entity]]&lt;&gt;"",RIGHT(Fields[[#This Row],[Column Name]],LEN(Fields[[#This Row],[Column Name]])-2),"")</f>
        <v/>
      </c>
      <c r="P167" s="1"/>
      <c r="R167"/>
      <c r="S167"/>
    </row>
    <row r="168" spans="1:22" ht="57.6" x14ac:dyDescent="0.3">
      <c r="A168">
        <v>7</v>
      </c>
      <c r="B168" t="s">
        <v>7</v>
      </c>
      <c r="C168" t="s">
        <v>301</v>
      </c>
      <c r="D168" s="1" t="s">
        <v>37</v>
      </c>
      <c r="E168" t="s">
        <v>19</v>
      </c>
      <c r="F168" t="s">
        <v>239</v>
      </c>
      <c r="G168" s="2">
        <v>15</v>
      </c>
      <c r="H168" t="s">
        <v>20</v>
      </c>
      <c r="I168" s="4" t="s">
        <v>382</v>
      </c>
      <c r="L168" s="1" t="s">
        <v>382</v>
      </c>
      <c r="M168" t="str">
        <f>IF(Fields[[#This Row],[Reference Entity]]&lt;&gt;"","t" &amp;Fields[[#This Row],[Reference Entity]],"")</f>
        <v/>
      </c>
      <c r="N168" t="str">
        <f>IF(Fields[[#This Row],[Reference Entity]]&lt;&gt;"",RIGHT(Fields[[#This Row],[Column Name]],LEN(Fields[[#This Row],[Column Name]])-2),"")</f>
        <v/>
      </c>
      <c r="P168" s="1"/>
      <c r="Q168" t="str">
        <f>Fields[[#This Row],[Column Name]]</f>
        <v>ReferenceIDPlanElement</v>
      </c>
      <c r="R168"/>
      <c r="S168"/>
    </row>
    <row r="169" spans="1:22" ht="28.8" x14ac:dyDescent="0.3">
      <c r="A169">
        <v>8</v>
      </c>
      <c r="B169" t="s">
        <v>7</v>
      </c>
      <c r="C169" t="s">
        <v>294</v>
      </c>
      <c r="D169" s="1" t="s">
        <v>14</v>
      </c>
      <c r="E169" t="s">
        <v>18</v>
      </c>
      <c r="F169" t="s">
        <v>6</v>
      </c>
      <c r="G169" s="2"/>
      <c r="I169">
        <v>0</v>
      </c>
      <c r="L169" s="1" t="s">
        <v>382</v>
      </c>
      <c r="M169" t="str">
        <f>IF(Fields[[#This Row],[Reference Entity]]&lt;&gt;"","t" &amp;Fields[[#This Row],[Reference Entity]],"")</f>
        <v/>
      </c>
      <c r="N169" t="str">
        <f>IF(Fields[[#This Row],[Reference Entity]]&lt;&gt;"",RIGHT(Fields[[#This Row],[Column Name]],LEN(Fields[[#This Row],[Column Name]])-2),"")</f>
        <v/>
      </c>
      <c r="P169" s="1" t="s">
        <v>49</v>
      </c>
      <c r="R169"/>
      <c r="S169"/>
    </row>
    <row r="170" spans="1:22" x14ac:dyDescent="0.3">
      <c r="A170">
        <v>9</v>
      </c>
      <c r="B170" t="s">
        <v>7</v>
      </c>
      <c r="C170" t="s">
        <v>292</v>
      </c>
      <c r="D170" s="1" t="s">
        <v>46</v>
      </c>
      <c r="E170" t="s">
        <v>45</v>
      </c>
      <c r="F170" t="s">
        <v>239</v>
      </c>
      <c r="G170" s="2" t="s">
        <v>238</v>
      </c>
      <c r="H170" t="s">
        <v>20</v>
      </c>
      <c r="L170" s="1" t="s">
        <v>382</v>
      </c>
      <c r="M170" t="str">
        <f>IF(Fields[[#This Row],[Reference Entity]]&lt;&gt;"","t" &amp;Fields[[#This Row],[Reference Entity]],"")</f>
        <v/>
      </c>
      <c r="N170" t="str">
        <f>IF(Fields[[#This Row],[Reference Entity]]&lt;&gt;"",RIGHT(Fields[[#This Row],[Column Name]],LEN(Fields[[#This Row],[Column Name]])-2),"")</f>
        <v/>
      </c>
      <c r="P170" s="1"/>
      <c r="R170"/>
      <c r="S170"/>
    </row>
    <row r="171" spans="1:22" ht="72" x14ac:dyDescent="0.3">
      <c r="A171">
        <v>1</v>
      </c>
      <c r="B171" t="s">
        <v>634</v>
      </c>
      <c r="C171" t="s">
        <v>143</v>
      </c>
      <c r="D171" s="1" t="s">
        <v>144</v>
      </c>
      <c r="E171" t="s">
        <v>488</v>
      </c>
      <c r="F171" t="s">
        <v>487</v>
      </c>
      <c r="G171" s="2"/>
      <c r="L171" s="1" t="s">
        <v>346</v>
      </c>
      <c r="M171" t="str">
        <f>IF(Fields[[#This Row],[Reference Entity]]&lt;&gt;"","t" &amp;Fields[[#This Row],[Reference Entity]],"")</f>
        <v>tPlanElementInstance</v>
      </c>
      <c r="N171" t="str">
        <f>IF(Fields[[#This Row],[Reference Entity]]&lt;&gt;"",RIGHT(Fields[[#This Row],[Column Name]],LEN(Fields[[#This Row],[Column Name]])-2),"")</f>
        <v>PlanInstance</v>
      </c>
      <c r="O171" t="s">
        <v>142</v>
      </c>
      <c r="P171" s="1"/>
      <c r="Q171" t="str">
        <f>Fields[[#This Row],[Column Name]]</f>
        <v>idPlanInstance</v>
      </c>
      <c r="T171" s="1"/>
      <c r="U171" s="1"/>
      <c r="V171" t="s">
        <v>469</v>
      </c>
    </row>
    <row r="172" spans="1:22" x14ac:dyDescent="0.3">
      <c r="A172">
        <v>2</v>
      </c>
      <c r="B172" t="s">
        <v>634</v>
      </c>
      <c r="C172" t="s">
        <v>193</v>
      </c>
      <c r="D172" s="1" t="s">
        <v>191</v>
      </c>
      <c r="E172" t="s">
        <v>488</v>
      </c>
      <c r="F172" t="s">
        <v>487</v>
      </c>
      <c r="G172" s="2"/>
      <c r="L172" s="1" t="s">
        <v>335</v>
      </c>
      <c r="M172" t="str">
        <f>IF(Fields[[#This Row],[Reference Entity]]&lt;&gt;"","t" &amp;Fields[[#This Row],[Reference Entity]],"")</f>
        <v>tAccount</v>
      </c>
      <c r="N172" t="str">
        <f>IF(Fields[[#This Row],[Reference Entity]]&lt;&gt;"",RIGHT(Fields[[#This Row],[Column Name]],LEN(Fields[[#This Row],[Column Name]])-2),"")</f>
        <v>AccountDebit</v>
      </c>
      <c r="P172" s="1"/>
      <c r="Q172" t="str">
        <f>Fields[[#This Row],[Column Name]]</f>
        <v>idAccountDebit</v>
      </c>
      <c r="T172" s="1"/>
      <c r="U172" s="1" t="s">
        <v>360</v>
      </c>
      <c r="V172" t="s">
        <v>469</v>
      </c>
    </row>
    <row r="173" spans="1:22" ht="28.8" x14ac:dyDescent="0.3">
      <c r="A173">
        <v>3</v>
      </c>
      <c r="B173" t="s">
        <v>634</v>
      </c>
      <c r="C173" t="s">
        <v>194</v>
      </c>
      <c r="D173" s="1" t="s">
        <v>555</v>
      </c>
      <c r="E173" t="s">
        <v>488</v>
      </c>
      <c r="F173" t="s">
        <v>487</v>
      </c>
      <c r="G173" s="2"/>
      <c r="L173" s="1" t="s">
        <v>335</v>
      </c>
      <c r="M173" t="str">
        <f>IF(Fields[[#This Row],[Reference Entity]]&lt;&gt;"","t" &amp;Fields[[#This Row],[Reference Entity]],"")</f>
        <v>tAccount</v>
      </c>
      <c r="N173" t="str">
        <f>IF(Fields[[#This Row],[Reference Entity]]&lt;&gt;"",RIGHT(Fields[[#This Row],[Column Name]],LEN(Fields[[#This Row],[Column Name]])-2),"")</f>
        <v>AccountCredit</v>
      </c>
      <c r="P173" s="1"/>
      <c r="Q173" t="str">
        <f>Fields[[#This Row],[Column Name]]</f>
        <v>idAccountCredit</v>
      </c>
      <c r="T173" s="1"/>
      <c r="U173" s="1" t="s">
        <v>557</v>
      </c>
      <c r="V173" t="s">
        <v>469</v>
      </c>
    </row>
    <row r="174" spans="1:22" ht="28.8" x14ac:dyDescent="0.3">
      <c r="A174">
        <v>4</v>
      </c>
      <c r="B174" t="s">
        <v>634</v>
      </c>
      <c r="C174" t="s">
        <v>54</v>
      </c>
      <c r="D174" s="1" t="s">
        <v>72</v>
      </c>
      <c r="E174" t="s">
        <v>488</v>
      </c>
      <c r="F174" t="s">
        <v>487</v>
      </c>
      <c r="G174" s="2"/>
      <c r="H174" t="s">
        <v>20</v>
      </c>
      <c r="L174" s="1" t="s">
        <v>345</v>
      </c>
      <c r="M174" t="str">
        <f>IF(Fields[[#This Row],[Reference Entity]]&lt;&gt;"","t" &amp;Fields[[#This Row],[Reference Entity]],"")</f>
        <v>tPlanAllocationSchedule</v>
      </c>
      <c r="N174" t="str">
        <f>IF(Fields[[#This Row],[Reference Entity]]&lt;&gt;"",RIGHT(Fields[[#This Row],[Column Name]],LEN(Fields[[#This Row],[Column Name]])-2),"")</f>
        <v>AllocationSchedule</v>
      </c>
      <c r="P174" s="1"/>
      <c r="Q174" t="str">
        <f>Fields[[#This Row],[Column Name]]</f>
        <v>idAllocationSchedule</v>
      </c>
      <c r="T174" s="1"/>
      <c r="U174" s="1"/>
      <c r="V174" t="s">
        <v>469</v>
      </c>
    </row>
    <row r="175" spans="1:22" x14ac:dyDescent="0.3">
      <c r="A175">
        <v>5</v>
      </c>
      <c r="B175" t="s">
        <v>634</v>
      </c>
      <c r="C175" t="s">
        <v>138</v>
      </c>
      <c r="D175" s="1" t="s">
        <v>137</v>
      </c>
      <c r="E175" t="s">
        <v>124</v>
      </c>
      <c r="F175" t="s">
        <v>233</v>
      </c>
      <c r="G175" s="2"/>
      <c r="I175">
        <v>0</v>
      </c>
      <c r="K175" s="1" t="s">
        <v>138</v>
      </c>
      <c r="L175" s="1" t="s">
        <v>382</v>
      </c>
      <c r="M175" t="str">
        <f>IF(Fields[[#This Row],[Reference Entity]]&lt;&gt;"","t" &amp;Fields[[#This Row],[Reference Entity]],"")</f>
        <v/>
      </c>
      <c r="N175" t="str">
        <f>IF(Fields[[#This Row],[Reference Entity]]&lt;&gt;"",RIGHT(Fields[[#This Row],[Column Name]],LEN(Fields[[#This Row],[Column Name]])-2),"")</f>
        <v/>
      </c>
      <c r="P175" s="1"/>
      <c r="T175" s="1"/>
      <c r="U175" s="1"/>
      <c r="V175" t="s">
        <v>469</v>
      </c>
    </row>
    <row r="176" spans="1:22" ht="129.6" x14ac:dyDescent="0.3">
      <c r="A176">
        <v>6</v>
      </c>
      <c r="B176" t="s">
        <v>634</v>
      </c>
      <c r="C176" t="s">
        <v>460</v>
      </c>
      <c r="D176" s="1" t="s">
        <v>463</v>
      </c>
      <c r="E176" t="s">
        <v>488</v>
      </c>
      <c r="F176" t="s">
        <v>487</v>
      </c>
      <c r="G176" s="2"/>
      <c r="H176" t="s">
        <v>20</v>
      </c>
      <c r="L176" s="1" t="s">
        <v>450</v>
      </c>
      <c r="M176" t="str">
        <f>IF(Fields[[#This Row],[Reference Entity]]&lt;&gt;"","t" &amp;Fields[[#This Row],[Reference Entity]],"")</f>
        <v>tPlanInflationRule</v>
      </c>
      <c r="N176" t="str">
        <f>IF(Fields[[#This Row],[Reference Entity]]&lt;&gt;"",RIGHT(Fields[[#This Row],[Column Name]],LEN(Fields[[#This Row],[Column Name]])-2),"")</f>
        <v>InflationRule</v>
      </c>
      <c r="P176" s="1"/>
      <c r="Q176" t="str">
        <f>Fields[[#This Row],[Column Name]]</f>
        <v>idInflationRule</v>
      </c>
      <c r="T176" s="1"/>
      <c r="U176" s="1"/>
      <c r="V176" t="s">
        <v>469</v>
      </c>
    </row>
    <row r="177" spans="1:22" ht="28.8" x14ac:dyDescent="0.3">
      <c r="A177">
        <v>7</v>
      </c>
      <c r="B177" t="s">
        <v>634</v>
      </c>
      <c r="C177" t="s">
        <v>135</v>
      </c>
      <c r="D177" s="1" t="s">
        <v>74</v>
      </c>
      <c r="E177" t="s">
        <v>488</v>
      </c>
      <c r="F177" t="s">
        <v>487</v>
      </c>
      <c r="G177" s="2"/>
      <c r="H177" t="s">
        <v>20</v>
      </c>
      <c r="L177" s="1" t="s">
        <v>347</v>
      </c>
      <c r="M177" t="str">
        <f>IF(Fields[[#This Row],[Reference Entity]]&lt;&gt;"","t" &amp;Fields[[#This Row],[Reference Entity]],"")</f>
        <v>tPlanParameter</v>
      </c>
      <c r="N177" t="str">
        <f>IF(Fields[[#This Row],[Reference Entity]]&lt;&gt;"",RIGHT(Fields[[#This Row],[Column Name]],LEN(Fields[[#This Row],[Column Name]])-2),"")</f>
        <v>ParPrice1</v>
      </c>
      <c r="P177" s="1"/>
      <c r="Q177" t="str">
        <f>Fields[[#This Row],[Column Name]]</f>
        <v>idParPrice1</v>
      </c>
      <c r="T177" s="1"/>
      <c r="U177" s="1" t="s">
        <v>361</v>
      </c>
      <c r="V177" t="s">
        <v>469</v>
      </c>
    </row>
    <row r="178" spans="1:22" ht="28.8" x14ac:dyDescent="0.3">
      <c r="A178">
        <v>8</v>
      </c>
      <c r="B178" t="s">
        <v>634</v>
      </c>
      <c r="C178" t="s">
        <v>136</v>
      </c>
      <c r="D178" s="1" t="s">
        <v>84</v>
      </c>
      <c r="E178" t="s">
        <v>488</v>
      </c>
      <c r="F178" t="s">
        <v>487</v>
      </c>
      <c r="G178" s="2"/>
      <c r="H178" t="s">
        <v>20</v>
      </c>
      <c r="L178" s="1" t="s">
        <v>347</v>
      </c>
      <c r="M178" t="str">
        <f>IF(Fields[[#This Row],[Reference Entity]]&lt;&gt;"","t" &amp;Fields[[#This Row],[Reference Entity]],"")</f>
        <v>tPlanParameter</v>
      </c>
      <c r="N178" t="str">
        <f>IF(Fields[[#This Row],[Reference Entity]]&lt;&gt;"",RIGHT(Fields[[#This Row],[Column Name]],LEN(Fields[[#This Row],[Column Name]])-2),"")</f>
        <v>ParPrice2</v>
      </c>
      <c r="P178" s="1"/>
      <c r="Q178" t="str">
        <f>Fields[[#This Row],[Column Name]]</f>
        <v>idParPrice2</v>
      </c>
      <c r="T178" s="1"/>
      <c r="U178" s="1" t="s">
        <v>362</v>
      </c>
      <c r="V178" t="s">
        <v>469</v>
      </c>
    </row>
    <row r="179" spans="1:22" x14ac:dyDescent="0.3">
      <c r="A179">
        <v>10</v>
      </c>
      <c r="B179" t="s">
        <v>634</v>
      </c>
      <c r="C179" t="s">
        <v>57</v>
      </c>
      <c r="D179" s="1" t="s">
        <v>85</v>
      </c>
      <c r="E179" t="s">
        <v>30</v>
      </c>
      <c r="F179" t="s">
        <v>4</v>
      </c>
      <c r="G179" s="2"/>
      <c r="I179">
        <v>1</v>
      </c>
      <c r="L179" s="1" t="s">
        <v>382</v>
      </c>
      <c r="M179" t="str">
        <f>IF(Fields[[#This Row],[Reference Entity]]&lt;&gt;"","t" &amp;Fields[[#This Row],[Reference Entity]],"")</f>
        <v/>
      </c>
      <c r="N179" t="str">
        <f>IF(Fields[[#This Row],[Reference Entity]]&lt;&gt;"",RIGHT(Fields[[#This Row],[Column Name]],LEN(Fields[[#This Row],[Column Name]])-2),"")</f>
        <v/>
      </c>
      <c r="P179" s="1"/>
      <c r="T179" s="1"/>
      <c r="U179" s="1"/>
      <c r="V179" t="s">
        <v>469</v>
      </c>
    </row>
    <row r="180" spans="1:22" ht="28.8" x14ac:dyDescent="0.3">
      <c r="A180">
        <v>11</v>
      </c>
      <c r="B180" t="s">
        <v>634</v>
      </c>
      <c r="C180" t="s">
        <v>68</v>
      </c>
      <c r="D180" s="1" t="s">
        <v>86</v>
      </c>
      <c r="E180" t="s">
        <v>60</v>
      </c>
      <c r="F180" t="s">
        <v>234</v>
      </c>
      <c r="G180" s="2"/>
      <c r="L180" s="1" t="s">
        <v>382</v>
      </c>
      <c r="M180" t="str">
        <f>IF(Fields[[#This Row],[Reference Entity]]&lt;&gt;"","t" &amp;Fields[[#This Row],[Reference Entity]],"")</f>
        <v/>
      </c>
      <c r="N180" t="str">
        <f>IF(Fields[[#This Row],[Reference Entity]]&lt;&gt;"",RIGHT(Fields[[#This Row],[Column Name]],LEN(Fields[[#This Row],[Column Name]])-2),"")</f>
        <v/>
      </c>
      <c r="P180" s="1"/>
      <c r="T180" s="1"/>
      <c r="U180" s="1"/>
      <c r="V180" t="s">
        <v>469</v>
      </c>
    </row>
    <row r="181" spans="1:22" x14ac:dyDescent="0.3">
      <c r="A181">
        <v>12</v>
      </c>
      <c r="B181" t="s">
        <v>634</v>
      </c>
      <c r="C181" t="s">
        <v>58</v>
      </c>
      <c r="D181" s="1" t="s">
        <v>87</v>
      </c>
      <c r="E181" t="s">
        <v>17</v>
      </c>
      <c r="F181" t="s">
        <v>388</v>
      </c>
      <c r="G181" s="2"/>
      <c r="H181" t="s">
        <v>20</v>
      </c>
      <c r="L181" s="1" t="s">
        <v>382</v>
      </c>
      <c r="M181" t="str">
        <f>IF(Fields[[#This Row],[Reference Entity]]&lt;&gt;"","t" &amp;Fields[[#This Row],[Reference Entity]],"")</f>
        <v/>
      </c>
      <c r="N181" t="str">
        <f>IF(Fields[[#This Row],[Reference Entity]]&lt;&gt;"",RIGHT(Fields[[#This Row],[Column Name]],LEN(Fields[[#This Row],[Column Name]])-2),"")</f>
        <v/>
      </c>
      <c r="P181" s="1"/>
      <c r="T181" s="1"/>
      <c r="U181" s="1"/>
      <c r="V181" t="s">
        <v>469</v>
      </c>
    </row>
    <row r="182" spans="1:22" x14ac:dyDescent="0.3">
      <c r="A182">
        <v>13</v>
      </c>
      <c r="B182" t="s">
        <v>634</v>
      </c>
      <c r="C182" t="s">
        <v>524</v>
      </c>
      <c r="D182" s="1" t="s">
        <v>568</v>
      </c>
      <c r="E182" t="s">
        <v>60</v>
      </c>
      <c r="F182" t="s">
        <v>234</v>
      </c>
      <c r="G182" s="2"/>
      <c r="L182" s="1" t="s">
        <v>382</v>
      </c>
      <c r="M182" t="str">
        <f>IF(Fields[[#This Row],[Reference Entity]]&lt;&gt;"","t" &amp;Fields[[#This Row],[Reference Entity]],"")</f>
        <v/>
      </c>
      <c r="N182" t="str">
        <f>IF(Fields[[#This Row],[Reference Entity]]&lt;&gt;"",RIGHT(Fields[[#This Row],[Column Name]],LEN(Fields[[#This Row],[Column Name]])-2),"")</f>
        <v/>
      </c>
      <c r="P182" s="1"/>
      <c r="T182" s="1"/>
      <c r="U182" s="1"/>
      <c r="V182" t="s">
        <v>469</v>
      </c>
    </row>
    <row r="183" spans="1:22" ht="28.8" x14ac:dyDescent="0.3">
      <c r="A183">
        <v>14</v>
      </c>
      <c r="B183" t="s">
        <v>634</v>
      </c>
      <c r="C183" t="s">
        <v>499</v>
      </c>
      <c r="D183" s="1" t="s">
        <v>500</v>
      </c>
      <c r="E183" t="s">
        <v>488</v>
      </c>
      <c r="F183" t="s">
        <v>487</v>
      </c>
      <c r="G183" s="2"/>
      <c r="H183" t="s">
        <v>20</v>
      </c>
      <c r="L183" s="1" t="s">
        <v>347</v>
      </c>
      <c r="M183" t="str">
        <f>IF(Fields[[#This Row],[Reference Entity]]&lt;&gt;"","t" &amp;Fields[[#This Row],[Reference Entity]],"")</f>
        <v>tPlanParameter</v>
      </c>
      <c r="N183" t="str">
        <f>IF(Fields[[#This Row],[Reference Entity]]&lt;&gt;"",RIGHT(Fields[[#This Row],[Column Name]],LEN(Fields[[#This Row],[Column Name]])-2),"")</f>
        <v>ParContingencyRate</v>
      </c>
      <c r="P183" s="1"/>
      <c r="Q183" t="str">
        <f>Fields[[#This Row],[Column Name]]</f>
        <v>idParContingencyRate</v>
      </c>
      <c r="T183" s="1"/>
      <c r="U183" s="1" t="s">
        <v>69</v>
      </c>
      <c r="V183" t="s">
        <v>469</v>
      </c>
    </row>
    <row r="184" spans="1:22" ht="28.8" x14ac:dyDescent="0.3">
      <c r="A184">
        <v>15</v>
      </c>
      <c r="B184" t="s">
        <v>634</v>
      </c>
      <c r="C184" t="s">
        <v>815</v>
      </c>
      <c r="D184" s="1" t="s">
        <v>816</v>
      </c>
      <c r="E184" t="s">
        <v>18</v>
      </c>
      <c r="F184" t="s">
        <v>6</v>
      </c>
      <c r="G184" s="2"/>
      <c r="I184">
        <v>0</v>
      </c>
      <c r="L184" s="1"/>
      <c r="M184" t="str">
        <f>IF(Fields[[#This Row],[Reference Entity]]&lt;&gt;"","t" &amp;Fields[[#This Row],[Reference Entity]],"")</f>
        <v/>
      </c>
      <c r="P184" s="1"/>
      <c r="T184" s="1"/>
      <c r="U184" s="1"/>
    </row>
    <row r="185" spans="1:22" ht="86.4" x14ac:dyDescent="0.3">
      <c r="A185">
        <v>1</v>
      </c>
      <c r="B185" t="s">
        <v>639</v>
      </c>
      <c r="C185" t="s">
        <v>143</v>
      </c>
      <c r="D185" s="1" t="s">
        <v>640</v>
      </c>
      <c r="E185" t="s">
        <v>488</v>
      </c>
      <c r="F185" t="s">
        <v>487</v>
      </c>
      <c r="G185" s="2"/>
      <c r="L185" s="1" t="s">
        <v>346</v>
      </c>
      <c r="M185" t="str">
        <f>IF(Fields[[#This Row],[Reference Entity]]&lt;&gt;"","t" &amp;Fields[[#This Row],[Reference Entity]],"")</f>
        <v>tPlanElementInstance</v>
      </c>
      <c r="N185" t="str">
        <f>IF(Fields[[#This Row],[Reference Entity]]&lt;&gt;"",RIGHT(Fields[[#This Row],[Column Name]],LEN(Fields[[#This Row],[Column Name]])-2),"")</f>
        <v>PlanInstance</v>
      </c>
      <c r="O185" t="s">
        <v>142</v>
      </c>
      <c r="P185" s="1"/>
      <c r="Q185" t="str">
        <f>Fields[[#This Row],[Column Name]]</f>
        <v>idPlanInstance</v>
      </c>
      <c r="R185"/>
      <c r="S185"/>
    </row>
    <row r="186" spans="1:22" x14ac:dyDescent="0.3">
      <c r="A186">
        <v>2</v>
      </c>
      <c r="B186" t="s">
        <v>639</v>
      </c>
      <c r="C186" t="s">
        <v>190</v>
      </c>
      <c r="D186" s="1" t="s">
        <v>191</v>
      </c>
      <c r="E186" t="s">
        <v>488</v>
      </c>
      <c r="F186" t="s">
        <v>487</v>
      </c>
      <c r="G186" s="2"/>
      <c r="L186" s="1" t="s">
        <v>335</v>
      </c>
      <c r="M186" t="str">
        <f>IF(Fields[[#This Row],[Reference Entity]]&lt;&gt;"","t" &amp;Fields[[#This Row],[Reference Entity]],"")</f>
        <v>tAccount</v>
      </c>
      <c r="N186" t="str">
        <f>IF(Fields[[#This Row],[Reference Entity]]&lt;&gt;"",RIGHT(Fields[[#This Row],[Column Name]],LEN(Fields[[#This Row],[Column Name]])-2),"")</f>
        <v>AccountMain</v>
      </c>
      <c r="P186" s="1"/>
      <c r="Q186" t="str">
        <f>Fields[[#This Row],[Column Name]]</f>
        <v>idAccountMain</v>
      </c>
      <c r="R186"/>
      <c r="S186"/>
      <c r="U186" t="s">
        <v>360</v>
      </c>
    </row>
    <row r="187" spans="1:22" ht="28.8" x14ac:dyDescent="0.3">
      <c r="A187">
        <v>3</v>
      </c>
      <c r="B187" t="s">
        <v>639</v>
      </c>
      <c r="C187" t="s">
        <v>54</v>
      </c>
      <c r="D187" s="1" t="s">
        <v>72</v>
      </c>
      <c r="E187" t="s">
        <v>488</v>
      </c>
      <c r="F187" t="s">
        <v>487</v>
      </c>
      <c r="G187" s="2"/>
      <c r="H187" t="s">
        <v>20</v>
      </c>
      <c r="L187" s="1" t="s">
        <v>345</v>
      </c>
      <c r="M187" t="str">
        <f>IF(Fields[[#This Row],[Reference Entity]]&lt;&gt;"","t" &amp;Fields[[#This Row],[Reference Entity]],"")</f>
        <v>tPlanAllocationSchedule</v>
      </c>
      <c r="N187" t="str">
        <f>IF(Fields[[#This Row],[Reference Entity]]&lt;&gt;"",RIGHT(Fields[[#This Row],[Column Name]],LEN(Fields[[#This Row],[Column Name]])-2),"")</f>
        <v>AllocationSchedule</v>
      </c>
      <c r="P187" s="1"/>
      <c r="Q187" t="str">
        <f>Fields[[#This Row],[Column Name]]</f>
        <v>idAllocationSchedule</v>
      </c>
      <c r="R187"/>
      <c r="S187"/>
    </row>
    <row r="188" spans="1:22" x14ac:dyDescent="0.3">
      <c r="A188">
        <v>4</v>
      </c>
      <c r="B188" t="s">
        <v>639</v>
      </c>
      <c r="C188" t="s">
        <v>138</v>
      </c>
      <c r="D188" s="1" t="s">
        <v>137</v>
      </c>
      <c r="E188" t="s">
        <v>124</v>
      </c>
      <c r="F188" t="s">
        <v>233</v>
      </c>
      <c r="G188" s="2"/>
      <c r="I188">
        <v>0</v>
      </c>
      <c r="K188" s="1" t="s">
        <v>138</v>
      </c>
      <c r="L188" s="1" t="s">
        <v>382</v>
      </c>
      <c r="M188" t="str">
        <f>IF(Fields[[#This Row],[Reference Entity]]&lt;&gt;"","t" &amp;Fields[[#This Row],[Reference Entity]],"")</f>
        <v/>
      </c>
      <c r="N188" t="str">
        <f>IF(Fields[[#This Row],[Reference Entity]]&lt;&gt;"",RIGHT(Fields[[#This Row],[Column Name]],LEN(Fields[[#This Row],[Column Name]])-2),"")</f>
        <v/>
      </c>
      <c r="P188" s="1"/>
      <c r="R188"/>
      <c r="S188"/>
    </row>
    <row r="189" spans="1:22" x14ac:dyDescent="0.3">
      <c r="A189">
        <v>5</v>
      </c>
      <c r="B189" t="s">
        <v>639</v>
      </c>
      <c r="C189" t="s">
        <v>556</v>
      </c>
      <c r="D189" s="1" t="s">
        <v>555</v>
      </c>
      <c r="E189" t="s">
        <v>488</v>
      </c>
      <c r="F189" t="s">
        <v>487</v>
      </c>
      <c r="G189" s="2"/>
      <c r="H189" t="s">
        <v>20</v>
      </c>
      <c r="L189" s="1" t="s">
        <v>335</v>
      </c>
      <c r="M189" t="str">
        <f>IF(Fields[[#This Row],[Reference Entity]]&lt;&gt;"","t" &amp;Fields[[#This Row],[Reference Entity]],"")</f>
        <v>tAccount</v>
      </c>
      <c r="N189" t="str">
        <f>IF(Fields[[#This Row],[Reference Entity]]&lt;&gt;"",RIGHT(Fields[[#This Row],[Column Name]],LEN(Fields[[#This Row],[Column Name]])-2),"")</f>
        <v>AccountAdvance</v>
      </c>
      <c r="P189" s="1"/>
      <c r="Q189" t="str">
        <f>Fields[[#This Row],[Column Name]]</f>
        <v>idAccountAdvance</v>
      </c>
      <c r="R189"/>
      <c r="S189"/>
      <c r="U189" t="s">
        <v>557</v>
      </c>
      <c r="V189" t="s">
        <v>449</v>
      </c>
    </row>
    <row r="190" spans="1:22" ht="43.2" x14ac:dyDescent="0.3">
      <c r="A190">
        <v>6</v>
      </c>
      <c r="B190" t="s">
        <v>639</v>
      </c>
      <c r="C190" t="s">
        <v>553</v>
      </c>
      <c r="D190" s="1" t="s">
        <v>563</v>
      </c>
      <c r="E190" t="s">
        <v>488</v>
      </c>
      <c r="F190" t="s">
        <v>487</v>
      </c>
      <c r="G190" s="2"/>
      <c r="H190" t="s">
        <v>20</v>
      </c>
      <c r="L190" s="1" t="s">
        <v>347</v>
      </c>
      <c r="M190" t="str">
        <f>IF(Fields[[#This Row],[Reference Entity]]&lt;&gt;"","t" &amp;Fields[[#This Row],[Reference Entity]],"")</f>
        <v>tPlanParameter</v>
      </c>
      <c r="N190" t="str">
        <f>IF(Fields[[#This Row],[Reference Entity]]&lt;&gt;"",RIGHT(Fields[[#This Row],[Column Name]],LEN(Fields[[#This Row],[Column Name]])-2),"")</f>
        <v>ParTriggerAdvance</v>
      </c>
      <c r="P190" s="1"/>
      <c r="Q190" t="str">
        <f>Fields[[#This Row],[Column Name]]</f>
        <v>idParTriggerAdvance</v>
      </c>
      <c r="R190"/>
      <c r="S190"/>
      <c r="U190" t="s">
        <v>554</v>
      </c>
      <c r="V190" t="s">
        <v>469</v>
      </c>
    </row>
    <row r="191" spans="1:22" ht="43.2" x14ac:dyDescent="0.3">
      <c r="A191">
        <v>7</v>
      </c>
      <c r="B191" t="s">
        <v>639</v>
      </c>
      <c r="C191" t="s">
        <v>562</v>
      </c>
      <c r="D191" s="1" t="s">
        <v>564</v>
      </c>
      <c r="E191" t="s">
        <v>30</v>
      </c>
      <c r="F191" t="s">
        <v>4</v>
      </c>
      <c r="G191" s="2"/>
      <c r="I191">
        <v>0</v>
      </c>
      <c r="L191" s="1" t="s">
        <v>382</v>
      </c>
      <c r="M191" t="str">
        <f>IF(Fields[[#This Row],[Reference Entity]]&lt;&gt;"","t" &amp;Fields[[#This Row],[Reference Entity]],"")</f>
        <v/>
      </c>
      <c r="N191" t="str">
        <f>IF(Fields[[#This Row],[Reference Entity]]&lt;&gt;"",RIGHT(Fields[[#This Row],[Column Name]],LEN(Fields[[#This Row],[Column Name]])-2),"")</f>
        <v/>
      </c>
      <c r="P191" s="1"/>
      <c r="R191"/>
      <c r="S191"/>
      <c r="V191" t="s">
        <v>469</v>
      </c>
    </row>
    <row r="192" spans="1:22" x14ac:dyDescent="0.3">
      <c r="A192">
        <v>8</v>
      </c>
      <c r="B192" t="s">
        <v>639</v>
      </c>
      <c r="C192" t="s">
        <v>188</v>
      </c>
      <c r="D192" s="1" t="s">
        <v>641</v>
      </c>
      <c r="E192" t="s">
        <v>488</v>
      </c>
      <c r="F192" t="s">
        <v>487</v>
      </c>
      <c r="G192" s="2"/>
      <c r="H192" t="s">
        <v>20</v>
      </c>
      <c r="L192" s="1" t="s">
        <v>338</v>
      </c>
      <c r="M192" t="str">
        <f>IF(Fields[[#This Row],[Reference Entity]]&lt;&gt;"","t" &amp;Fields[[#This Row],[Reference Entity]],"")</f>
        <v>tDepreciationRule</v>
      </c>
      <c r="N192" t="str">
        <f>IF(Fields[[#This Row],[Reference Entity]]&lt;&gt;"",RIGHT(Fields[[#This Row],[Column Name]],LEN(Fields[[#This Row],[Column Name]])-2),"")</f>
        <v>DepreciationRule</v>
      </c>
      <c r="P192" s="1"/>
      <c r="Q192" t="str">
        <f>Fields[[#This Row],[Column Name]]</f>
        <v>idDepreciationRule</v>
      </c>
      <c r="R192"/>
      <c r="S192"/>
    </row>
    <row r="193" spans="1:22" ht="28.8" x14ac:dyDescent="0.3">
      <c r="A193">
        <v>9</v>
      </c>
      <c r="B193" t="s">
        <v>639</v>
      </c>
      <c r="C193" t="s">
        <v>192</v>
      </c>
      <c r="D193" s="1" t="s">
        <v>642</v>
      </c>
      <c r="E193" t="s">
        <v>488</v>
      </c>
      <c r="F193" t="s">
        <v>487</v>
      </c>
      <c r="G193" s="2"/>
      <c r="H193" t="s">
        <v>20</v>
      </c>
      <c r="L193" s="1" t="s">
        <v>347</v>
      </c>
      <c r="M193" t="str">
        <f>IF(Fields[[#This Row],[Reference Entity]]&lt;&gt;"","t" &amp;Fields[[#This Row],[Reference Entity]],"")</f>
        <v>tPlanParameter</v>
      </c>
      <c r="N193" t="str">
        <f>IF(Fields[[#This Row],[Reference Entity]]&lt;&gt;"",RIGHT(Fields[[#This Row],[Column Name]],LEN(Fields[[#This Row],[Column Name]])-2),"")</f>
        <v>DepreciationTrigger</v>
      </c>
      <c r="P193" s="1"/>
      <c r="Q193" t="str">
        <f>Fields[[#This Row],[Column Name]]</f>
        <v>idDepreciationTrigger</v>
      </c>
      <c r="R193"/>
      <c r="S193"/>
      <c r="U193" t="s">
        <v>377</v>
      </c>
    </row>
    <row r="194" spans="1:22" ht="43.2" x14ac:dyDescent="0.3">
      <c r="A194">
        <v>10</v>
      </c>
      <c r="B194" t="s">
        <v>639</v>
      </c>
      <c r="C194" t="s">
        <v>801</v>
      </c>
      <c r="D194" s="1" t="s">
        <v>805</v>
      </c>
      <c r="E194" t="s">
        <v>30</v>
      </c>
      <c r="F194" t="s">
        <v>4</v>
      </c>
      <c r="G194" s="2"/>
      <c r="H194" t="s">
        <v>20</v>
      </c>
      <c r="L194" s="1"/>
      <c r="M194" t="str">
        <f>IF(Fields[[#This Row],[Reference Entity]]&lt;&gt;"","t" &amp;Fields[[#This Row],[Reference Entity]],"")</f>
        <v/>
      </c>
      <c r="P194" s="1"/>
      <c r="R194"/>
      <c r="S194"/>
    </row>
    <row r="195" spans="1:22" x14ac:dyDescent="0.3">
      <c r="A195">
        <v>11</v>
      </c>
      <c r="B195" t="s">
        <v>639</v>
      </c>
      <c r="C195" t="s">
        <v>802</v>
      </c>
      <c r="D195" s="1" t="s">
        <v>806</v>
      </c>
      <c r="E195" t="s">
        <v>30</v>
      </c>
      <c r="F195" t="s">
        <v>4</v>
      </c>
      <c r="G195" s="2"/>
      <c r="H195" t="s">
        <v>20</v>
      </c>
      <c r="L195" s="1"/>
      <c r="M195" t="str">
        <f>IF(Fields[[#This Row],[Reference Entity]]&lt;&gt;"","t" &amp;Fields[[#This Row],[Reference Entity]],"")</f>
        <v/>
      </c>
      <c r="P195" s="1"/>
      <c r="R195"/>
      <c r="S195"/>
    </row>
    <row r="196" spans="1:22" x14ac:dyDescent="0.3">
      <c r="A196">
        <v>12</v>
      </c>
      <c r="B196" t="s">
        <v>639</v>
      </c>
      <c r="C196" t="s">
        <v>803</v>
      </c>
      <c r="D196" s="1" t="s">
        <v>806</v>
      </c>
      <c r="E196" t="s">
        <v>30</v>
      </c>
      <c r="F196" t="s">
        <v>4</v>
      </c>
      <c r="G196" s="2"/>
      <c r="H196" t="s">
        <v>20</v>
      </c>
      <c r="L196" s="1"/>
      <c r="M196" t="str">
        <f>IF(Fields[[#This Row],[Reference Entity]]&lt;&gt;"","t" &amp;Fields[[#This Row],[Reference Entity]],"")</f>
        <v/>
      </c>
      <c r="P196" s="1"/>
      <c r="R196"/>
      <c r="S196"/>
    </row>
    <row r="197" spans="1:22" ht="43.2" x14ac:dyDescent="0.3">
      <c r="A197">
        <v>13</v>
      </c>
      <c r="B197" t="s">
        <v>639</v>
      </c>
      <c r="C197" t="s">
        <v>189</v>
      </c>
      <c r="D197" s="1" t="s">
        <v>804</v>
      </c>
      <c r="E197" t="s">
        <v>30</v>
      </c>
      <c r="F197" t="s">
        <v>4</v>
      </c>
      <c r="G197" s="2"/>
      <c r="I197">
        <v>0</v>
      </c>
      <c r="L197" s="1" t="s">
        <v>382</v>
      </c>
      <c r="M197" t="str">
        <f>IF(Fields[[#This Row],[Reference Entity]]&lt;&gt;"","t" &amp;Fields[[#This Row],[Reference Entity]],"")</f>
        <v/>
      </c>
      <c r="N197" t="str">
        <f>IF(Fields[[#This Row],[Reference Entity]]&lt;&gt;"",RIGHT(Fields[[#This Row],[Column Name]],LEN(Fields[[#This Row],[Column Name]])-2),"")</f>
        <v/>
      </c>
      <c r="P197" s="1"/>
      <c r="R197"/>
      <c r="S197"/>
    </row>
    <row r="198" spans="1:22" x14ac:dyDescent="0.3">
      <c r="A198">
        <v>14</v>
      </c>
      <c r="B198" t="s">
        <v>639</v>
      </c>
      <c r="C198" t="s">
        <v>56</v>
      </c>
      <c r="D198" s="1" t="s">
        <v>73</v>
      </c>
      <c r="E198" t="s">
        <v>488</v>
      </c>
      <c r="F198" t="s">
        <v>487</v>
      </c>
      <c r="G198" s="2"/>
      <c r="H198" t="s">
        <v>20</v>
      </c>
      <c r="L198" s="1" t="s">
        <v>339</v>
      </c>
      <c r="M198" t="str">
        <f>IF(Fields[[#This Row],[Reference Entity]]&lt;&gt;"","t" &amp;Fields[[#This Row],[Reference Entity]],"")</f>
        <v>tVATRule</v>
      </c>
      <c r="N198" t="str">
        <f>IF(Fields[[#This Row],[Reference Entity]]&lt;&gt;"",RIGHT(Fields[[#This Row],[Column Name]],LEN(Fields[[#This Row],[Column Name]])-2),"")</f>
        <v>VATRule</v>
      </c>
      <c r="P198" s="1"/>
      <c r="Q198" t="str">
        <f>Fields[[#This Row],[Column Name]]</f>
        <v>idVATRule</v>
      </c>
      <c r="R198"/>
      <c r="S198"/>
    </row>
    <row r="199" spans="1:22" ht="129.6" x14ac:dyDescent="0.3">
      <c r="A199">
        <v>15</v>
      </c>
      <c r="B199" t="s">
        <v>639</v>
      </c>
      <c r="C199" t="s">
        <v>460</v>
      </c>
      <c r="D199" s="1" t="s">
        <v>463</v>
      </c>
      <c r="E199" t="s">
        <v>488</v>
      </c>
      <c r="F199" t="s">
        <v>487</v>
      </c>
      <c r="G199" s="2"/>
      <c r="H199" t="s">
        <v>20</v>
      </c>
      <c r="L199" s="1" t="s">
        <v>450</v>
      </c>
      <c r="M199" t="str">
        <f>IF(Fields[[#This Row],[Reference Entity]]&lt;&gt;"","t" &amp;Fields[[#This Row],[Reference Entity]],"")</f>
        <v>tPlanInflationRule</v>
      </c>
      <c r="N199" t="str">
        <f>IF(Fields[[#This Row],[Reference Entity]]&lt;&gt;"",RIGHT(Fields[[#This Row],[Column Name]],LEN(Fields[[#This Row],[Column Name]])-2),"")</f>
        <v>InflationRule</v>
      </c>
      <c r="P199" s="1"/>
      <c r="Q199" t="str">
        <f>Fields[[#This Row],[Column Name]]</f>
        <v>idInflationRule</v>
      </c>
      <c r="R199"/>
      <c r="S199"/>
    </row>
    <row r="200" spans="1:22" ht="28.8" x14ac:dyDescent="0.3">
      <c r="A200">
        <v>16</v>
      </c>
      <c r="B200" t="s">
        <v>639</v>
      </c>
      <c r="C200" t="s">
        <v>135</v>
      </c>
      <c r="D200" s="1" t="s">
        <v>74</v>
      </c>
      <c r="E200" t="s">
        <v>488</v>
      </c>
      <c r="F200" t="s">
        <v>487</v>
      </c>
      <c r="G200" s="2"/>
      <c r="H200" t="s">
        <v>20</v>
      </c>
      <c r="L200" s="1" t="s">
        <v>347</v>
      </c>
      <c r="M200" t="str">
        <f>IF(Fields[[#This Row],[Reference Entity]]&lt;&gt;"","t" &amp;Fields[[#This Row],[Reference Entity]],"")</f>
        <v>tPlanParameter</v>
      </c>
      <c r="N200" t="str">
        <f>IF(Fields[[#This Row],[Reference Entity]]&lt;&gt;"",RIGHT(Fields[[#This Row],[Column Name]],LEN(Fields[[#This Row],[Column Name]])-2),"")</f>
        <v>ParPrice1</v>
      </c>
      <c r="P200" s="1"/>
      <c r="Q200" t="str">
        <f>Fields[[#This Row],[Column Name]]</f>
        <v>idParPrice1</v>
      </c>
      <c r="R200"/>
      <c r="S200"/>
      <c r="U200" t="s">
        <v>361</v>
      </c>
    </row>
    <row r="201" spans="1:22" ht="28.8" x14ac:dyDescent="0.3">
      <c r="A201">
        <v>17</v>
      </c>
      <c r="B201" t="s">
        <v>639</v>
      </c>
      <c r="C201" t="s">
        <v>136</v>
      </c>
      <c r="D201" s="1" t="s">
        <v>84</v>
      </c>
      <c r="E201" t="s">
        <v>488</v>
      </c>
      <c r="F201" t="s">
        <v>487</v>
      </c>
      <c r="G201" s="2"/>
      <c r="H201" t="s">
        <v>20</v>
      </c>
      <c r="L201" s="1" t="s">
        <v>347</v>
      </c>
      <c r="M201" t="str">
        <f>IF(Fields[[#This Row],[Reference Entity]]&lt;&gt;"","t" &amp;Fields[[#This Row],[Reference Entity]],"")</f>
        <v>tPlanParameter</v>
      </c>
      <c r="N201" t="str">
        <f>IF(Fields[[#This Row],[Reference Entity]]&lt;&gt;"",RIGHT(Fields[[#This Row],[Column Name]],LEN(Fields[[#This Row],[Column Name]])-2),"")</f>
        <v>ParPrice2</v>
      </c>
      <c r="P201" s="1"/>
      <c r="Q201" t="str">
        <f>Fields[[#This Row],[Column Name]]</f>
        <v>idParPrice2</v>
      </c>
      <c r="R201"/>
      <c r="S201"/>
      <c r="U201" t="s">
        <v>362</v>
      </c>
    </row>
    <row r="202" spans="1:22" ht="28.8" x14ac:dyDescent="0.3">
      <c r="A202">
        <v>18</v>
      </c>
      <c r="B202" t="s">
        <v>639</v>
      </c>
      <c r="C202" t="s">
        <v>55</v>
      </c>
      <c r="D202" s="1" t="s">
        <v>79</v>
      </c>
      <c r="E202" t="s">
        <v>30</v>
      </c>
      <c r="F202" t="s">
        <v>4</v>
      </c>
      <c r="G202" s="2"/>
      <c r="L202" s="1" t="s">
        <v>382</v>
      </c>
      <c r="M202" t="str">
        <f>IF(Fields[[#This Row],[Reference Entity]]&lt;&gt;"","t" &amp;Fields[[#This Row],[Reference Entity]],"")</f>
        <v/>
      </c>
      <c r="N202" t="str">
        <f>IF(Fields[[#This Row],[Reference Entity]]&lt;&gt;"",RIGHT(Fields[[#This Row],[Column Name]],LEN(Fields[[#This Row],[Column Name]])-2),"")</f>
        <v/>
      </c>
      <c r="P202" s="1"/>
      <c r="R202"/>
      <c r="S202"/>
    </row>
    <row r="203" spans="1:22" x14ac:dyDescent="0.3">
      <c r="A203">
        <v>19</v>
      </c>
      <c r="B203" t="s">
        <v>639</v>
      </c>
      <c r="C203" t="s">
        <v>57</v>
      </c>
      <c r="D203" s="1" t="s">
        <v>85</v>
      </c>
      <c r="E203" t="s">
        <v>30</v>
      </c>
      <c r="F203" t="s">
        <v>4</v>
      </c>
      <c r="G203" s="2"/>
      <c r="I203">
        <v>1</v>
      </c>
      <c r="L203" s="1" t="s">
        <v>382</v>
      </c>
      <c r="M203" t="str">
        <f>IF(Fields[[#This Row],[Reference Entity]]&lt;&gt;"","t" &amp;Fields[[#This Row],[Reference Entity]],"")</f>
        <v/>
      </c>
      <c r="N203" t="str">
        <f>IF(Fields[[#This Row],[Reference Entity]]&lt;&gt;"",RIGHT(Fields[[#This Row],[Column Name]],LEN(Fields[[#This Row],[Column Name]])-2),"")</f>
        <v/>
      </c>
      <c r="P203" s="1"/>
      <c r="R203"/>
      <c r="S203"/>
    </row>
    <row r="204" spans="1:22" ht="28.8" x14ac:dyDescent="0.3">
      <c r="A204">
        <v>20</v>
      </c>
      <c r="B204" t="s">
        <v>639</v>
      </c>
      <c r="C204" t="s">
        <v>68</v>
      </c>
      <c r="D204" s="1" t="s">
        <v>86</v>
      </c>
      <c r="E204" t="s">
        <v>60</v>
      </c>
      <c r="F204" t="s">
        <v>234</v>
      </c>
      <c r="G204" s="2"/>
      <c r="L204" s="1" t="s">
        <v>382</v>
      </c>
      <c r="M204" t="str">
        <f>IF(Fields[[#This Row],[Reference Entity]]&lt;&gt;"","t" &amp;Fields[[#This Row],[Reference Entity]],"")</f>
        <v/>
      </c>
      <c r="N204" t="str">
        <f>IF(Fields[[#This Row],[Reference Entity]]&lt;&gt;"",RIGHT(Fields[[#This Row],[Column Name]],LEN(Fields[[#This Row],[Column Name]])-2),"")</f>
        <v/>
      </c>
      <c r="P204" s="1"/>
      <c r="R204"/>
      <c r="S204"/>
    </row>
    <row r="205" spans="1:22" x14ac:dyDescent="0.3">
      <c r="A205">
        <v>21</v>
      </c>
      <c r="B205" t="s">
        <v>639</v>
      </c>
      <c r="C205" t="s">
        <v>58</v>
      </c>
      <c r="D205" s="1" t="s">
        <v>87</v>
      </c>
      <c r="E205" t="s">
        <v>17</v>
      </c>
      <c r="F205" t="s">
        <v>388</v>
      </c>
      <c r="G205" s="2"/>
      <c r="H205" t="s">
        <v>20</v>
      </c>
      <c r="L205" s="1" t="s">
        <v>382</v>
      </c>
      <c r="M205" t="str">
        <f>IF(Fields[[#This Row],[Reference Entity]]&lt;&gt;"","t" &amp;Fields[[#This Row],[Reference Entity]],"")</f>
        <v/>
      </c>
      <c r="N205" t="str">
        <f>IF(Fields[[#This Row],[Reference Entity]]&lt;&gt;"",RIGHT(Fields[[#This Row],[Column Name]],LEN(Fields[[#This Row],[Column Name]])-2),"")</f>
        <v/>
      </c>
      <c r="P205" s="1"/>
      <c r="R205"/>
      <c r="S205"/>
    </row>
    <row r="206" spans="1:22" x14ac:dyDescent="0.3">
      <c r="A206">
        <v>22</v>
      </c>
      <c r="B206" t="s">
        <v>639</v>
      </c>
      <c r="C206" t="s">
        <v>524</v>
      </c>
      <c r="D206" s="1" t="s">
        <v>568</v>
      </c>
      <c r="E206" t="s">
        <v>60</v>
      </c>
      <c r="F206" t="s">
        <v>234</v>
      </c>
      <c r="G206" s="2"/>
      <c r="L206" s="1" t="s">
        <v>382</v>
      </c>
      <c r="M206" t="str">
        <f>IF(Fields[[#This Row],[Reference Entity]]&lt;&gt;"","t" &amp;Fields[[#This Row],[Reference Entity]],"")</f>
        <v/>
      </c>
      <c r="N206" t="str">
        <f>IF(Fields[[#This Row],[Reference Entity]]&lt;&gt;"",RIGHT(Fields[[#This Row],[Column Name]],LEN(Fields[[#This Row],[Column Name]])-2),"")</f>
        <v/>
      </c>
      <c r="P206" s="1"/>
      <c r="R206"/>
      <c r="S206"/>
    </row>
    <row r="207" spans="1:22" ht="28.8" x14ac:dyDescent="0.3">
      <c r="A207">
        <v>23</v>
      </c>
      <c r="B207" t="s">
        <v>639</v>
      </c>
      <c r="C207" t="s">
        <v>499</v>
      </c>
      <c r="D207" s="1" t="s">
        <v>500</v>
      </c>
      <c r="E207" t="s">
        <v>488</v>
      </c>
      <c r="F207" t="s">
        <v>487</v>
      </c>
      <c r="G207" s="2"/>
      <c r="H207" t="s">
        <v>20</v>
      </c>
      <c r="L207" s="1" t="s">
        <v>347</v>
      </c>
      <c r="M207" t="str">
        <f>IF(Fields[[#This Row],[Reference Entity]]&lt;&gt;"","t" &amp;Fields[[#This Row],[Reference Entity]],"")</f>
        <v>tPlanParameter</v>
      </c>
      <c r="N207" t="str">
        <f>IF(Fields[[#This Row],[Reference Entity]]&lt;&gt;"",RIGHT(Fields[[#This Row],[Column Name]],LEN(Fields[[#This Row],[Column Name]])-2),"")</f>
        <v>ParContingencyRate</v>
      </c>
      <c r="P207" s="1"/>
      <c r="Q207" t="str">
        <f>Fields[[#This Row],[Column Name]]</f>
        <v>idParContingencyRate</v>
      </c>
      <c r="R207"/>
      <c r="S207"/>
      <c r="U207" t="s">
        <v>69</v>
      </c>
      <c r="V207" t="s">
        <v>469</v>
      </c>
    </row>
    <row r="208" spans="1:22" ht="72" x14ac:dyDescent="0.3">
      <c r="A208">
        <v>1</v>
      </c>
      <c r="B208" t="s">
        <v>697</v>
      </c>
      <c r="C208" t="s">
        <v>143</v>
      </c>
      <c r="D208" s="1" t="s">
        <v>144</v>
      </c>
      <c r="E208" t="s">
        <v>488</v>
      </c>
      <c r="F208" t="s">
        <v>487</v>
      </c>
      <c r="G208" s="2"/>
      <c r="L208" s="1" t="s">
        <v>346</v>
      </c>
      <c r="M208" t="str">
        <f>IF(Fields[[#This Row],[Reference Entity]]&lt;&gt;"","t" &amp;Fields[[#This Row],[Reference Entity]],"")</f>
        <v>tPlanElementInstance</v>
      </c>
      <c r="N208" t="str">
        <f>IF(Fields[[#This Row],[Reference Entity]]&lt;&gt;"",RIGHT(Fields[[#This Row],[Column Name]],LEN(Fields[[#This Row],[Column Name]])-2),"")</f>
        <v>PlanInstance</v>
      </c>
      <c r="O208" t="s">
        <v>142</v>
      </c>
      <c r="P208" s="1"/>
      <c r="Q208" t="str">
        <f>Fields[[#This Row],[Column Name]]</f>
        <v>idPlanInstance</v>
      </c>
      <c r="T208" s="1"/>
      <c r="U208" s="1"/>
      <c r="V208" t="s">
        <v>469</v>
      </c>
    </row>
    <row r="209" spans="1:22" ht="129.6" x14ac:dyDescent="0.3">
      <c r="A209">
        <v>2</v>
      </c>
      <c r="B209" t="s">
        <v>697</v>
      </c>
      <c r="C209" t="s">
        <v>460</v>
      </c>
      <c r="D209" s="1" t="s">
        <v>463</v>
      </c>
      <c r="E209" t="s">
        <v>488</v>
      </c>
      <c r="F209" t="s">
        <v>487</v>
      </c>
      <c r="G209" s="2"/>
      <c r="H209" t="s">
        <v>20</v>
      </c>
      <c r="L209" s="1" t="s">
        <v>450</v>
      </c>
      <c r="M209" t="str">
        <f>IF(Fields[[#This Row],[Reference Entity]]&lt;&gt;"","t" &amp;Fields[[#This Row],[Reference Entity]],"")</f>
        <v>tPlanInflationRule</v>
      </c>
      <c r="N209" t="str">
        <f>IF(Fields[[#This Row],[Reference Entity]]&lt;&gt;"",RIGHT(Fields[[#This Row],[Column Name]],LEN(Fields[[#This Row],[Column Name]])-2),"")</f>
        <v>InflationRule</v>
      </c>
      <c r="P209" s="1"/>
      <c r="Q209" t="str">
        <f>Fields[[#This Row],[Column Name]]</f>
        <v>idInflationRule</v>
      </c>
      <c r="T209" s="1"/>
      <c r="U209" s="1"/>
      <c r="V209" t="s">
        <v>469</v>
      </c>
    </row>
    <row r="210" spans="1:22" x14ac:dyDescent="0.3">
      <c r="A210">
        <v>3</v>
      </c>
      <c r="B210" t="s">
        <v>697</v>
      </c>
      <c r="C210" t="s">
        <v>647</v>
      </c>
      <c r="D210" s="1" t="s">
        <v>651</v>
      </c>
      <c r="E210" t="s">
        <v>488</v>
      </c>
      <c r="F210" t="s">
        <v>487</v>
      </c>
      <c r="G210" s="2"/>
      <c r="L210" s="1" t="s">
        <v>690</v>
      </c>
      <c r="M210" t="str">
        <f>IF(Fields[[#This Row],[Reference Entity]]&lt;&gt;"","t" &amp;Fields[[#This Row],[Reference Entity]],"")</f>
        <v>tPlanHRTariff</v>
      </c>
      <c r="N210" t="str">
        <f>IF(Fields[[#This Row],[Reference Entity]]&lt;&gt;"",RIGHT(Fields[[#This Row],[Column Name]],LEN(Fields[[#This Row],[Column Name]])-2),"")</f>
        <v>Tariff</v>
      </c>
      <c r="P210" s="1"/>
      <c r="Q210" t="str">
        <f>Fields[[#This Row],[Column Name]]</f>
        <v>idTariff</v>
      </c>
      <c r="T210" s="1"/>
      <c r="U210" s="1"/>
      <c r="V210" t="s">
        <v>469</v>
      </c>
    </row>
    <row r="211" spans="1:22" x14ac:dyDescent="0.3">
      <c r="A211">
        <v>4</v>
      </c>
      <c r="B211" t="s">
        <v>697</v>
      </c>
      <c r="C211" t="s">
        <v>707</v>
      </c>
      <c r="D211" s="1" t="s">
        <v>652</v>
      </c>
      <c r="E211" t="s">
        <v>488</v>
      </c>
      <c r="F211" t="s">
        <v>487</v>
      </c>
      <c r="G211" s="2"/>
      <c r="L211" s="1" t="s">
        <v>708</v>
      </c>
      <c r="M211" t="str">
        <f>IF(Fields[[#This Row],[Reference Entity]]&lt;&gt;"","t" &amp;Fields[[#This Row],[Reference Entity]],"")</f>
        <v>tPlanHRExpenseGroup</v>
      </c>
      <c r="N211" t="str">
        <f>IF(Fields[[#This Row],[Reference Entity]]&lt;&gt;"",RIGHT(Fields[[#This Row],[Column Name]],LEN(Fields[[#This Row],[Column Name]])-2),"")</f>
        <v>ExpenseGroup</v>
      </c>
      <c r="P211" s="1"/>
      <c r="Q211" t="str">
        <f>Fields[[#This Row],[Column Name]]</f>
        <v>idExpenseGroup</v>
      </c>
      <c r="T211" s="1"/>
      <c r="U211" s="1"/>
      <c r="V211" t="s">
        <v>469</v>
      </c>
    </row>
    <row r="212" spans="1:22" x14ac:dyDescent="0.3">
      <c r="A212">
        <v>5</v>
      </c>
      <c r="B212" t="s">
        <v>697</v>
      </c>
      <c r="C212" t="s">
        <v>648</v>
      </c>
      <c r="D212" s="1" t="s">
        <v>653</v>
      </c>
      <c r="E212" t="s">
        <v>19</v>
      </c>
      <c r="F212" t="s">
        <v>239</v>
      </c>
      <c r="G212" s="2">
        <v>50</v>
      </c>
      <c r="H212" t="s">
        <v>20</v>
      </c>
      <c r="L212" s="1"/>
      <c r="M212" t="str">
        <f>IF(Fields[[#This Row],[Reference Entity]]&lt;&gt;"","t" &amp;Fields[[#This Row],[Reference Entity]],"")</f>
        <v/>
      </c>
      <c r="P212" s="1"/>
      <c r="T212" s="1"/>
      <c r="U212" s="1"/>
      <c r="V212" t="s">
        <v>469</v>
      </c>
    </row>
    <row r="213" spans="1:22" x14ac:dyDescent="0.3">
      <c r="A213">
        <v>6</v>
      </c>
      <c r="B213" t="s">
        <v>697</v>
      </c>
      <c r="C213" t="s">
        <v>650</v>
      </c>
      <c r="D213" s="1" t="s">
        <v>654</v>
      </c>
      <c r="E213" t="s">
        <v>19</v>
      </c>
      <c r="F213" t="s">
        <v>239</v>
      </c>
      <c r="G213" s="2">
        <v>50</v>
      </c>
      <c r="H213" t="s">
        <v>20</v>
      </c>
      <c r="L213" s="1"/>
      <c r="M213" t="str">
        <f>IF(Fields[[#This Row],[Reference Entity]]&lt;&gt;"","t" &amp;Fields[[#This Row],[Reference Entity]],"")</f>
        <v/>
      </c>
      <c r="P213" s="1"/>
      <c r="T213" s="1"/>
      <c r="U213" s="1"/>
      <c r="V213" t="s">
        <v>469</v>
      </c>
    </row>
    <row r="214" spans="1:22" x14ac:dyDescent="0.3">
      <c r="A214">
        <v>1</v>
      </c>
      <c r="B214" t="s">
        <v>117</v>
      </c>
      <c r="C214" t="s">
        <v>59</v>
      </c>
      <c r="D214" s="1" t="s">
        <v>140</v>
      </c>
      <c r="E214" t="s">
        <v>488</v>
      </c>
      <c r="F214" t="s">
        <v>487</v>
      </c>
      <c r="G214" s="2"/>
      <c r="L214" s="1" t="s">
        <v>343</v>
      </c>
      <c r="M214" t="str">
        <f>IF(Fields[[#This Row],[Reference Entity]]&lt;&gt;"","t" &amp;Fields[[#This Row],[Reference Entity]],"")</f>
        <v>tPlanElement</v>
      </c>
      <c r="N214" t="str">
        <f>IF(Fields[[#This Row],[Reference Entity]]&lt;&gt;"",RIGHT(Fields[[#This Row],[Column Name]],LEN(Fields[[#This Row],[Column Name]])-2),"")</f>
        <v>PlanElement</v>
      </c>
      <c r="P214" s="1"/>
      <c r="Q214" t="str">
        <f>Fields[[#This Row],[Column Name]]</f>
        <v>idPlanElement</v>
      </c>
      <c r="R214"/>
      <c r="S214"/>
      <c r="V214" s="1"/>
    </row>
    <row r="215" spans="1:22" x14ac:dyDescent="0.3">
      <c r="A215">
        <v>2</v>
      </c>
      <c r="B215" t="s">
        <v>117</v>
      </c>
      <c r="C215" t="s">
        <v>53</v>
      </c>
      <c r="D215" s="1" t="s">
        <v>423</v>
      </c>
      <c r="E215" t="s">
        <v>488</v>
      </c>
      <c r="F215" t="s">
        <v>487</v>
      </c>
      <c r="G215" s="2"/>
      <c r="L215" s="1" t="s">
        <v>342</v>
      </c>
      <c r="M215" t="str">
        <f>IF(Fields[[#This Row],[Reference Entity]]&lt;&gt;"","t" &amp;Fields[[#This Row],[Reference Entity]],"")</f>
        <v>tPlan</v>
      </c>
      <c r="N215" t="str">
        <f>IF(Fields[[#This Row],[Reference Entity]]&lt;&gt;"",RIGHT(Fields[[#This Row],[Column Name]],LEN(Fields[[#This Row],[Column Name]])-2),"")</f>
        <v>Plan</v>
      </c>
      <c r="O215" t="s">
        <v>142</v>
      </c>
      <c r="P215" s="1"/>
      <c r="Q215" t="str">
        <f>Fields[[#This Row],[Column Name]]</f>
        <v>idPlan</v>
      </c>
      <c r="R215"/>
      <c r="S215"/>
      <c r="V215" s="1"/>
    </row>
    <row r="216" spans="1:22" x14ac:dyDescent="0.3">
      <c r="A216">
        <v>3</v>
      </c>
      <c r="B216" t="s">
        <v>117</v>
      </c>
      <c r="C216" t="s">
        <v>728</v>
      </c>
      <c r="D216" s="1"/>
      <c r="E216" t="s">
        <v>18</v>
      </c>
      <c r="F216" t="s">
        <v>6</v>
      </c>
      <c r="G216" s="2"/>
      <c r="I216">
        <v>0</v>
      </c>
      <c r="L216" s="1"/>
      <c r="M216" t="str">
        <f>IF(Fields[[#This Row],[Reference Entity]]&lt;&gt;"","t" &amp;Fields[[#This Row],[Reference Entity]],"")</f>
        <v/>
      </c>
      <c r="P216" s="1"/>
      <c r="R216"/>
      <c r="S216"/>
      <c r="V216" s="1"/>
    </row>
    <row r="217" spans="1:22" ht="28.8" x14ac:dyDescent="0.3">
      <c r="A217">
        <v>4</v>
      </c>
      <c r="B217" t="s">
        <v>117</v>
      </c>
      <c r="C217" s="7" t="s">
        <v>520</v>
      </c>
      <c r="D217" s="1" t="s">
        <v>47</v>
      </c>
      <c r="E217" t="s">
        <v>18</v>
      </c>
      <c r="F217" t="s">
        <v>6</v>
      </c>
      <c r="G217" s="2"/>
      <c r="I217">
        <v>0</v>
      </c>
      <c r="L217" s="1" t="s">
        <v>382</v>
      </c>
      <c r="M217" t="str">
        <f>IF(Fields[[#This Row],[Reference Entity]]&lt;&gt;"","t" &amp;Fields[[#This Row],[Reference Entity]],"")</f>
        <v/>
      </c>
      <c r="N217" t="str">
        <f>IF(Fields[[#This Row],[Reference Entity]]&lt;&gt;"",RIGHT(Fields[[#This Row],[Column Name]],LEN(Fields[[#This Row],[Column Name]])-2),"")</f>
        <v/>
      </c>
      <c r="P217" s="1" t="s">
        <v>49</v>
      </c>
      <c r="T217" s="1"/>
      <c r="U217" s="1"/>
      <c r="V217" t="s">
        <v>469</v>
      </c>
    </row>
    <row r="218" spans="1:22" ht="28.8" x14ac:dyDescent="0.3">
      <c r="A218">
        <v>5</v>
      </c>
      <c r="B218" t="s">
        <v>117</v>
      </c>
      <c r="C218" s="7" t="s">
        <v>70</v>
      </c>
      <c r="D218" s="1" t="s">
        <v>76</v>
      </c>
      <c r="E218" t="s">
        <v>18</v>
      </c>
      <c r="F218" t="s">
        <v>6</v>
      </c>
      <c r="G218" s="2"/>
      <c r="I218">
        <v>1</v>
      </c>
      <c r="L218" s="1" t="s">
        <v>382</v>
      </c>
      <c r="M218" t="str">
        <f>IF(Fields[[#This Row],[Reference Entity]]&lt;&gt;"","t" &amp;Fields[[#This Row],[Reference Entity]],"")</f>
        <v/>
      </c>
      <c r="N218" t="str">
        <f>IF(Fields[[#This Row],[Reference Entity]]&lt;&gt;"",RIGHT(Fields[[#This Row],[Column Name]],LEN(Fields[[#This Row],[Column Name]])-2),"")</f>
        <v/>
      </c>
      <c r="P218" s="1"/>
      <c r="T218" s="1"/>
      <c r="U218" s="1"/>
      <c r="V218" t="s">
        <v>469</v>
      </c>
    </row>
    <row r="219" spans="1:22" ht="43.2" x14ac:dyDescent="0.3">
      <c r="A219">
        <v>6</v>
      </c>
      <c r="B219" t="s">
        <v>117</v>
      </c>
      <c r="C219" s="7" t="s">
        <v>80</v>
      </c>
      <c r="D219" s="1" t="s">
        <v>77</v>
      </c>
      <c r="E219" t="s">
        <v>30</v>
      </c>
      <c r="F219" t="s">
        <v>4</v>
      </c>
      <c r="G219" s="2"/>
      <c r="I219">
        <v>0</v>
      </c>
      <c r="L219" s="1" t="s">
        <v>382</v>
      </c>
      <c r="M219" t="str">
        <f>IF(Fields[[#This Row],[Reference Entity]]&lt;&gt;"","t" &amp;Fields[[#This Row],[Reference Entity]],"")</f>
        <v/>
      </c>
      <c r="N219" t="str">
        <f>IF(Fields[[#This Row],[Reference Entity]]&lt;&gt;"",RIGHT(Fields[[#This Row],[Column Name]],LEN(Fields[[#This Row],[Column Name]])-2),"")</f>
        <v/>
      </c>
      <c r="P219" s="1"/>
      <c r="T219" s="1"/>
      <c r="U219" s="1"/>
      <c r="V219" t="s">
        <v>469</v>
      </c>
    </row>
    <row r="220" spans="1:22" x14ac:dyDescent="0.3">
      <c r="A220">
        <v>7</v>
      </c>
      <c r="B220" t="s">
        <v>117</v>
      </c>
      <c r="C220" s="7" t="s">
        <v>81</v>
      </c>
      <c r="D220" s="1" t="s">
        <v>83</v>
      </c>
      <c r="E220" t="s">
        <v>30</v>
      </c>
      <c r="F220" t="s">
        <v>4</v>
      </c>
      <c r="G220" s="2"/>
      <c r="I220">
        <v>0</v>
      </c>
      <c r="L220" s="1" t="s">
        <v>382</v>
      </c>
      <c r="M220" t="str">
        <f>IF(Fields[[#This Row],[Reference Entity]]&lt;&gt;"","t" &amp;Fields[[#This Row],[Reference Entity]],"")</f>
        <v/>
      </c>
      <c r="N220" t="str">
        <f>IF(Fields[[#This Row],[Reference Entity]]&lt;&gt;"",RIGHT(Fields[[#This Row],[Column Name]],LEN(Fields[[#This Row],[Column Name]])-2),"")</f>
        <v/>
      </c>
      <c r="P220" s="1"/>
      <c r="T220" s="1"/>
      <c r="U220" s="1"/>
      <c r="V220" t="s">
        <v>469</v>
      </c>
    </row>
    <row r="221" spans="1:22" x14ac:dyDescent="0.3">
      <c r="A221">
        <v>8</v>
      </c>
      <c r="B221" t="s">
        <v>117</v>
      </c>
      <c r="C221" s="7" t="s">
        <v>82</v>
      </c>
      <c r="D221" s="1" t="s">
        <v>83</v>
      </c>
      <c r="E221" t="s">
        <v>30</v>
      </c>
      <c r="F221" t="s">
        <v>4</v>
      </c>
      <c r="G221" s="2"/>
      <c r="I221">
        <v>0</v>
      </c>
      <c r="L221" s="1" t="s">
        <v>382</v>
      </c>
      <c r="M221" t="str">
        <f>IF(Fields[[#This Row],[Reference Entity]]&lt;&gt;"","t" &amp;Fields[[#This Row],[Reference Entity]],"")</f>
        <v/>
      </c>
      <c r="N221" t="str">
        <f>IF(Fields[[#This Row],[Reference Entity]]&lt;&gt;"",RIGHT(Fields[[#This Row],[Column Name]],LEN(Fields[[#This Row],[Column Name]])-2),"")</f>
        <v/>
      </c>
      <c r="P221" s="1"/>
      <c r="T221" s="1"/>
      <c r="U221" s="1"/>
      <c r="V221" t="s">
        <v>469</v>
      </c>
    </row>
    <row r="222" spans="1:22" ht="28.8" x14ac:dyDescent="0.3">
      <c r="A222">
        <v>9</v>
      </c>
      <c r="B222" t="s">
        <v>117</v>
      </c>
      <c r="C222" s="7" t="s">
        <v>521</v>
      </c>
      <c r="D222" s="1" t="s">
        <v>443</v>
      </c>
      <c r="E222" t="s">
        <v>30</v>
      </c>
      <c r="F222" t="s">
        <v>4</v>
      </c>
      <c r="G222" s="2"/>
      <c r="H222" t="s">
        <v>20</v>
      </c>
      <c r="L222" s="1" t="s">
        <v>382</v>
      </c>
      <c r="M222" t="str">
        <f>IF(Fields[[#This Row],[Reference Entity]]&lt;&gt;"","t" &amp;Fields[[#This Row],[Reference Entity]],"")</f>
        <v/>
      </c>
      <c r="N222" t="str">
        <f>IF(Fields[[#This Row],[Reference Entity]]&lt;&gt;"",RIGHT(Fields[[#This Row],[Column Name]],LEN(Fields[[#This Row],[Column Name]])-2),"")</f>
        <v/>
      </c>
      <c r="P222" s="1"/>
      <c r="T222" s="1"/>
      <c r="U222" s="1"/>
      <c r="V222" t="s">
        <v>469</v>
      </c>
    </row>
    <row r="223" spans="1:22" x14ac:dyDescent="0.3">
      <c r="A223">
        <v>10</v>
      </c>
      <c r="B223" t="s">
        <v>117</v>
      </c>
      <c r="C223" s="7" t="s">
        <v>522</v>
      </c>
      <c r="D223" s="1" t="s">
        <v>78</v>
      </c>
      <c r="E223" t="s">
        <v>30</v>
      </c>
      <c r="F223" t="s">
        <v>4</v>
      </c>
      <c r="G223" s="2"/>
      <c r="H223" t="s">
        <v>20</v>
      </c>
      <c r="L223" s="1" t="s">
        <v>382</v>
      </c>
      <c r="M223" t="str">
        <f>IF(Fields[[#This Row],[Reference Entity]]&lt;&gt;"","t" &amp;Fields[[#This Row],[Reference Entity]],"")</f>
        <v/>
      </c>
      <c r="N223" t="str">
        <f>IF(Fields[[#This Row],[Reference Entity]]&lt;&gt;"",RIGHT(Fields[[#This Row],[Column Name]],LEN(Fields[[#This Row],[Column Name]])-2),"")</f>
        <v/>
      </c>
      <c r="P223" s="1"/>
      <c r="T223" s="1"/>
      <c r="U223" s="1"/>
      <c r="V223" t="s">
        <v>469</v>
      </c>
    </row>
    <row r="224" spans="1:22" x14ac:dyDescent="0.3">
      <c r="A224">
        <v>11</v>
      </c>
      <c r="B224" t="s">
        <v>117</v>
      </c>
      <c r="C224" s="7" t="s">
        <v>523</v>
      </c>
      <c r="D224" s="1" t="s">
        <v>78</v>
      </c>
      <c r="E224" t="s">
        <v>30</v>
      </c>
      <c r="F224" t="s">
        <v>4</v>
      </c>
      <c r="G224" s="2"/>
      <c r="H224" t="s">
        <v>20</v>
      </c>
      <c r="L224" s="1" t="s">
        <v>382</v>
      </c>
      <c r="M224" t="str">
        <f>IF(Fields[[#This Row],[Reference Entity]]&lt;&gt;"","t" &amp;Fields[[#This Row],[Reference Entity]],"")</f>
        <v/>
      </c>
      <c r="N224" t="str">
        <f>IF(Fields[[#This Row],[Reference Entity]]&lt;&gt;"",RIGHT(Fields[[#This Row],[Column Name]],LEN(Fields[[#This Row],[Column Name]])-2),"")</f>
        <v/>
      </c>
      <c r="P224" s="1"/>
      <c r="T224" s="1"/>
      <c r="U224" s="1"/>
      <c r="V224" t="s">
        <v>469</v>
      </c>
    </row>
    <row r="225" spans="1:22" x14ac:dyDescent="0.3">
      <c r="A225">
        <v>12</v>
      </c>
      <c r="B225" t="s">
        <v>117</v>
      </c>
      <c r="C225" s="7" t="s">
        <v>525</v>
      </c>
      <c r="D225" s="1" t="s">
        <v>75</v>
      </c>
      <c r="E225" t="s">
        <v>488</v>
      </c>
      <c r="F225" t="s">
        <v>487</v>
      </c>
      <c r="G225" s="2"/>
      <c r="H225" t="s">
        <v>20</v>
      </c>
      <c r="L225" s="1" t="s">
        <v>347</v>
      </c>
      <c r="M225" t="str">
        <f>IF(Fields[[#This Row],[Reference Entity]]&lt;&gt;"","t" &amp;Fields[[#This Row],[Reference Entity]],"")</f>
        <v>tPlanParameter</v>
      </c>
      <c r="N225" t="str">
        <f>IF(Fields[[#This Row],[Reference Entity]]&lt;&gt;"",RIGHT(Fields[[#This Row],[Column Name]],LEN(Fields[[#This Row],[Column Name]])-2),"")</f>
        <v>ParTriggerDueDate</v>
      </c>
      <c r="P225" s="1"/>
      <c r="Q225" t="str">
        <f>Fields[[#This Row],[Column Name]]</f>
        <v>idParTriggerDueDate</v>
      </c>
      <c r="T225" s="1"/>
      <c r="U225" s="1" t="s">
        <v>378</v>
      </c>
      <c r="V225" t="s">
        <v>469</v>
      </c>
    </row>
    <row r="226" spans="1:22" ht="28.8" x14ac:dyDescent="0.3">
      <c r="A226">
        <v>13</v>
      </c>
      <c r="B226" t="s">
        <v>117</v>
      </c>
      <c r="C226" s="7" t="s">
        <v>61</v>
      </c>
      <c r="D226" s="1" t="s">
        <v>88</v>
      </c>
      <c r="E226" t="s">
        <v>45</v>
      </c>
      <c r="F226" t="s">
        <v>239</v>
      </c>
      <c r="G226" s="2" t="s">
        <v>238</v>
      </c>
      <c r="H226" t="s">
        <v>20</v>
      </c>
      <c r="L226" s="1" t="s">
        <v>382</v>
      </c>
      <c r="M226" t="str">
        <f>IF(Fields[[#This Row],[Reference Entity]]&lt;&gt;"","t" &amp;Fields[[#This Row],[Reference Entity]],"")</f>
        <v/>
      </c>
      <c r="N226" t="str">
        <f>IF(Fields[[#This Row],[Reference Entity]]&lt;&gt;"",RIGHT(Fields[[#This Row],[Column Name]],LEN(Fields[[#This Row],[Column Name]])-2),"")</f>
        <v/>
      </c>
      <c r="P226" s="1"/>
      <c r="T226" s="1"/>
      <c r="U226" s="1"/>
      <c r="V226" t="s">
        <v>469</v>
      </c>
    </row>
    <row r="227" spans="1:22" x14ac:dyDescent="0.3">
      <c r="A227">
        <v>14</v>
      </c>
      <c r="B227" t="s">
        <v>117</v>
      </c>
      <c r="C227" s="7" t="s">
        <v>62</v>
      </c>
      <c r="D227" s="1" t="s">
        <v>89</v>
      </c>
      <c r="E227" t="s">
        <v>45</v>
      </c>
      <c r="F227" t="s">
        <v>239</v>
      </c>
      <c r="G227" s="2" t="s">
        <v>238</v>
      </c>
      <c r="H227" t="s">
        <v>20</v>
      </c>
      <c r="L227" s="1" t="s">
        <v>382</v>
      </c>
      <c r="M227" t="str">
        <f>IF(Fields[[#This Row],[Reference Entity]]&lt;&gt;"","t" &amp;Fields[[#This Row],[Reference Entity]],"")</f>
        <v/>
      </c>
      <c r="N227" t="str">
        <f>IF(Fields[[#This Row],[Reference Entity]]&lt;&gt;"",RIGHT(Fields[[#This Row],[Column Name]],LEN(Fields[[#This Row],[Column Name]])-2),"")</f>
        <v/>
      </c>
      <c r="P227" s="1"/>
      <c r="T227" s="1"/>
      <c r="U227" s="1"/>
      <c r="V227" t="s">
        <v>469</v>
      </c>
    </row>
    <row r="228" spans="1:22" x14ac:dyDescent="0.3">
      <c r="A228">
        <v>1</v>
      </c>
      <c r="B228" t="s">
        <v>15</v>
      </c>
      <c r="C228" t="s">
        <v>29</v>
      </c>
      <c r="D228" s="1" t="s">
        <v>32</v>
      </c>
      <c r="E228" t="s">
        <v>30</v>
      </c>
      <c r="F228" t="s">
        <v>4</v>
      </c>
      <c r="G228" s="2"/>
      <c r="L228" s="1" t="s">
        <v>382</v>
      </c>
      <c r="M228" t="str">
        <f>IF(Fields[[#This Row],[Reference Entity]]&lt;&gt;"","t" &amp;Fields[[#This Row],[Reference Entity]],"")</f>
        <v/>
      </c>
      <c r="N228" t="str">
        <f>IF(Fields[[#This Row],[Reference Entity]]&lt;&gt;"",RIGHT(Fields[[#This Row],[Column Name]],LEN(Fields[[#This Row],[Column Name]])-2),"")</f>
        <v/>
      </c>
      <c r="P228" s="1"/>
      <c r="R228"/>
      <c r="S228"/>
    </row>
    <row r="229" spans="1:22" x14ac:dyDescent="0.3">
      <c r="A229">
        <v>2</v>
      </c>
      <c r="B229" t="s">
        <v>15</v>
      </c>
      <c r="C229" t="s">
        <v>448</v>
      </c>
      <c r="D229" s="1" t="s">
        <v>33</v>
      </c>
      <c r="E229" t="s">
        <v>19</v>
      </c>
      <c r="F229" t="s">
        <v>239</v>
      </c>
      <c r="G229" s="2">
        <v>20</v>
      </c>
      <c r="L229" s="1" t="s">
        <v>382</v>
      </c>
      <c r="M229" t="str">
        <f>IF(Fields[[#This Row],[Reference Entity]]&lt;&gt;"","t" &amp;Fields[[#This Row],[Reference Entity]],"")</f>
        <v/>
      </c>
      <c r="N229" t="str">
        <f>IF(Fields[[#This Row],[Reference Entity]]&lt;&gt;"",RIGHT(Fields[[#This Row],[Column Name]],LEN(Fields[[#This Row],[Column Name]])-2),"")</f>
        <v/>
      </c>
      <c r="P229" s="1"/>
      <c r="R229"/>
      <c r="S229"/>
      <c r="V229" t="s">
        <v>449</v>
      </c>
    </row>
    <row r="230" spans="1:22" x14ac:dyDescent="0.3">
      <c r="A230">
        <v>1</v>
      </c>
      <c r="B230" t="s">
        <v>40</v>
      </c>
      <c r="C230" t="s">
        <v>5</v>
      </c>
      <c r="D230" s="1" t="s">
        <v>10</v>
      </c>
      <c r="E230" t="s">
        <v>488</v>
      </c>
      <c r="F230" t="s">
        <v>487</v>
      </c>
      <c r="G230" s="2"/>
      <c r="L230" s="1" t="s">
        <v>147</v>
      </c>
      <c r="M230" t="str">
        <f>IF(Fields[[#This Row],[Reference Entity]]&lt;&gt;"","t" &amp;Fields[[#This Row],[Reference Entity]],"")</f>
        <v>tClient</v>
      </c>
      <c r="N230" t="str">
        <f>IF(Fields[[#This Row],[Reference Entity]]&lt;&gt;"",RIGHT(Fields[[#This Row],[Column Name]],LEN(Fields[[#This Row],[Column Name]])-2),"")</f>
        <v>Client</v>
      </c>
      <c r="O230" t="s">
        <v>142</v>
      </c>
      <c r="P230" s="1"/>
      <c r="Q230" t="str">
        <f>Fields[[#This Row],[Column Name]]</f>
        <v>idClient</v>
      </c>
      <c r="R230"/>
      <c r="S230"/>
    </row>
    <row r="231" spans="1:22" x14ac:dyDescent="0.3">
      <c r="A231">
        <v>2</v>
      </c>
      <c r="B231" t="s">
        <v>40</v>
      </c>
      <c r="C231" t="s">
        <v>310</v>
      </c>
      <c r="D231" s="1" t="s">
        <v>43</v>
      </c>
      <c r="E231" t="s">
        <v>19</v>
      </c>
      <c r="F231" t="s">
        <v>239</v>
      </c>
      <c r="G231" s="2">
        <v>30</v>
      </c>
      <c r="L231" s="1" t="s">
        <v>382</v>
      </c>
      <c r="M231" t="str">
        <f>IF(Fields[[#This Row],[Reference Entity]]&lt;&gt;"","t" &amp;Fields[[#This Row],[Reference Entity]],"")</f>
        <v/>
      </c>
      <c r="N231" t="str">
        <f>IF(Fields[[#This Row],[Reference Entity]]&lt;&gt;"",RIGHT(Fields[[#This Row],[Column Name]],LEN(Fields[[#This Row],[Column Name]])-2),"")</f>
        <v/>
      </c>
      <c r="P231" s="1"/>
      <c r="R231"/>
      <c r="S231"/>
    </row>
    <row r="232" spans="1:22" x14ac:dyDescent="0.3">
      <c r="A232">
        <v>3</v>
      </c>
      <c r="B232" t="s">
        <v>40</v>
      </c>
      <c r="C232" t="s">
        <v>570</v>
      </c>
      <c r="D232" s="1"/>
      <c r="E232" t="s">
        <v>19</v>
      </c>
      <c r="F232" t="s">
        <v>239</v>
      </c>
      <c r="G232" s="2">
        <v>30</v>
      </c>
      <c r="H232" t="s">
        <v>20</v>
      </c>
      <c r="L232" s="1"/>
      <c r="M232" t="str">
        <f>IF(Fields[[#This Row],[Reference Entity]]&lt;&gt;"","t" &amp;Fields[[#This Row],[Reference Entity]],"")</f>
        <v/>
      </c>
      <c r="P232" s="1"/>
      <c r="R232"/>
      <c r="S232"/>
    </row>
    <row r="233" spans="1:22" x14ac:dyDescent="0.3">
      <c r="A233">
        <v>4</v>
      </c>
      <c r="B233" t="s">
        <v>40</v>
      </c>
      <c r="C233" t="s">
        <v>581</v>
      </c>
      <c r="D233" s="1" t="s">
        <v>569</v>
      </c>
      <c r="E233" t="s">
        <v>45</v>
      </c>
      <c r="F233" t="s">
        <v>239</v>
      </c>
      <c r="G233" s="2" t="s">
        <v>238</v>
      </c>
      <c r="H233" t="s">
        <v>20</v>
      </c>
      <c r="L233" s="1"/>
      <c r="M233" t="str">
        <f>IF(Fields[[#This Row],[Reference Entity]]&lt;&gt;"","t" &amp;Fields[[#This Row],[Reference Entity]],"")</f>
        <v/>
      </c>
      <c r="P233" s="1"/>
      <c r="R233"/>
      <c r="S233"/>
    </row>
    <row r="234" spans="1:22" ht="28.8" x14ac:dyDescent="0.3">
      <c r="A234">
        <v>1</v>
      </c>
      <c r="B234" t="s">
        <v>695</v>
      </c>
      <c r="C234" t="s">
        <v>707</v>
      </c>
      <c r="D234" s="1" t="s">
        <v>689</v>
      </c>
      <c r="E234" t="s">
        <v>488</v>
      </c>
      <c r="F234" t="s">
        <v>487</v>
      </c>
      <c r="G234" s="2"/>
      <c r="L234" s="1" t="s">
        <v>708</v>
      </c>
      <c r="M234" t="str">
        <f>IF(Fields[[#This Row],[Reference Entity]]&lt;&gt;"","t" &amp;Fields[[#This Row],[Reference Entity]],"")</f>
        <v>tPlanHRExpenseGroup</v>
      </c>
      <c r="N234" t="str">
        <f>IF(Fields[[#This Row],[Reference Entity]]&lt;&gt;"",RIGHT(Fields[[#This Row],[Column Name]],LEN(Fields[[#This Row],[Column Name]])-2),"")</f>
        <v>ExpenseGroup</v>
      </c>
      <c r="P234" s="1"/>
      <c r="T234" s="1"/>
      <c r="U234" s="1"/>
    </row>
    <row r="235" spans="1:22" x14ac:dyDescent="0.3">
      <c r="A235">
        <v>2</v>
      </c>
      <c r="B235" t="s">
        <v>695</v>
      </c>
      <c r="C235" t="s">
        <v>281</v>
      </c>
      <c r="D235" s="1" t="s">
        <v>710</v>
      </c>
      <c r="E235" t="s">
        <v>17</v>
      </c>
      <c r="F235" t="s">
        <v>388</v>
      </c>
      <c r="G235" s="2"/>
      <c r="H235" t="s">
        <v>20</v>
      </c>
      <c r="L235" s="1"/>
      <c r="M235" t="str">
        <f>IF(Fields[[#This Row],[Reference Entity]]&lt;&gt;"","t" &amp;Fields[[#This Row],[Reference Entity]],"")</f>
        <v/>
      </c>
      <c r="P235" s="1"/>
      <c r="T235" s="1"/>
      <c r="U235" s="1"/>
    </row>
    <row r="236" spans="1:22" x14ac:dyDescent="0.3">
      <c r="A236">
        <v>3</v>
      </c>
      <c r="B236" t="s">
        <v>695</v>
      </c>
      <c r="C236" t="s">
        <v>711</v>
      </c>
      <c r="D236" s="1" t="s">
        <v>712</v>
      </c>
      <c r="E236" t="s">
        <v>19</v>
      </c>
      <c r="F236" t="s">
        <v>239</v>
      </c>
      <c r="G236" s="2">
        <v>50</v>
      </c>
      <c r="L236" s="1"/>
      <c r="M236" t="str">
        <f>IF(Fields[[#This Row],[Reference Entity]]&lt;&gt;"","t" &amp;Fields[[#This Row],[Reference Entity]],"")</f>
        <v/>
      </c>
      <c r="P236" s="1"/>
      <c r="T236" s="1"/>
      <c r="U236" s="1"/>
    </row>
    <row r="237" spans="1:22" x14ac:dyDescent="0.3">
      <c r="A237">
        <v>4</v>
      </c>
      <c r="B237" t="s">
        <v>695</v>
      </c>
      <c r="C237" t="s">
        <v>713</v>
      </c>
      <c r="D237" s="1" t="s">
        <v>714</v>
      </c>
      <c r="E237" t="s">
        <v>488</v>
      </c>
      <c r="F237" t="s">
        <v>487</v>
      </c>
      <c r="G237" s="2"/>
      <c r="J237" s="1"/>
      <c r="L237" s="1" t="s">
        <v>335</v>
      </c>
      <c r="M237" t="str">
        <f>IF(Fields[[#This Row],[Reference Entity]]&lt;&gt;"","t" &amp;Fields[[#This Row],[Reference Entity]],"")</f>
        <v>tAccount</v>
      </c>
      <c r="N237" t="str">
        <f>IF(Fields[[#This Row],[Reference Entity]]&lt;&gt;"",RIGHT(Fields[[#This Row],[Column Name]],LEN(Fields[[#This Row],[Column Name]])-2),"")</f>
        <v>AccountExpense</v>
      </c>
      <c r="P237" s="1"/>
      <c r="Q237" t="str">
        <f>Fields[[#This Row],[Column Name]]</f>
        <v>idAccountExpense</v>
      </c>
      <c r="T237" s="1"/>
      <c r="U237" s="1"/>
    </row>
    <row r="238" spans="1:22" ht="28.8" x14ac:dyDescent="0.3">
      <c r="A238">
        <v>5</v>
      </c>
      <c r="B238" t="s">
        <v>695</v>
      </c>
      <c r="C238" t="s">
        <v>810</v>
      </c>
      <c r="D238" s="1" t="s">
        <v>811</v>
      </c>
      <c r="E238" t="s">
        <v>488</v>
      </c>
      <c r="F238" t="s">
        <v>487</v>
      </c>
      <c r="G238" s="2"/>
      <c r="H238" t="s">
        <v>20</v>
      </c>
      <c r="J238" s="1"/>
      <c r="L238" s="1" t="s">
        <v>337</v>
      </c>
      <c r="M238" t="str">
        <f>IF(Fields[[#This Row],[Reference Entity]]&lt;&gt;"","t" &amp;Fields[[#This Row],[Reference Entity]],"")</f>
        <v>tCostCenter</v>
      </c>
      <c r="N238" t="s">
        <v>812</v>
      </c>
      <c r="P238" s="1"/>
      <c r="T238" s="1"/>
      <c r="U238" s="1"/>
    </row>
    <row r="239" spans="1:22" x14ac:dyDescent="0.3">
      <c r="A239">
        <v>6</v>
      </c>
      <c r="B239" t="s">
        <v>695</v>
      </c>
      <c r="C239" t="s">
        <v>715</v>
      </c>
      <c r="D239" s="1" t="s">
        <v>716</v>
      </c>
      <c r="E239" t="s">
        <v>60</v>
      </c>
      <c r="F239" t="s">
        <v>234</v>
      </c>
      <c r="G239" s="2"/>
      <c r="I239">
        <v>0</v>
      </c>
      <c r="L239" s="1"/>
      <c r="M239" t="str">
        <f>IF(Fields[[#This Row],[Reference Entity]]&lt;&gt;"","t" &amp;Fields[[#This Row],[Reference Entity]],"")</f>
        <v/>
      </c>
      <c r="P239" s="1"/>
      <c r="T239" s="1"/>
      <c r="U239" s="1"/>
    </row>
    <row r="240" spans="1:22" ht="28.8" x14ac:dyDescent="0.3">
      <c r="A240">
        <v>7</v>
      </c>
      <c r="B240" t="s">
        <v>695</v>
      </c>
      <c r="C240" t="s">
        <v>717</v>
      </c>
      <c r="D240" s="1" t="s">
        <v>718</v>
      </c>
      <c r="E240" t="s">
        <v>60</v>
      </c>
      <c r="F240" t="s">
        <v>234</v>
      </c>
      <c r="G240" s="2"/>
      <c r="I240">
        <v>0</v>
      </c>
      <c r="L240" s="1"/>
      <c r="M240" t="str">
        <f>IF(Fields[[#This Row],[Reference Entity]]&lt;&gt;"","t" &amp;Fields[[#This Row],[Reference Entity]],"")</f>
        <v/>
      </c>
      <c r="P240" s="1"/>
      <c r="T240" s="1"/>
      <c r="U240" s="1"/>
    </row>
    <row r="241" spans="1:21" x14ac:dyDescent="0.3">
      <c r="A241">
        <v>8</v>
      </c>
      <c r="B241" t="s">
        <v>695</v>
      </c>
      <c r="C241" t="s">
        <v>734</v>
      </c>
      <c r="D241" s="1"/>
      <c r="E241" t="s">
        <v>60</v>
      </c>
      <c r="F241" t="s">
        <v>234</v>
      </c>
      <c r="G241" s="2"/>
      <c r="I241">
        <v>0</v>
      </c>
      <c r="L241" s="1"/>
      <c r="M241" t="str">
        <f>IF(Fields[[#This Row],[Reference Entity]]&lt;&gt;"","t" &amp;Fields[[#This Row],[Reference Entity]],"")</f>
        <v/>
      </c>
      <c r="P241" s="1"/>
      <c r="T241" s="1"/>
      <c r="U241" s="1"/>
    </row>
    <row r="242" spans="1:21" ht="28.8" x14ac:dyDescent="0.3">
      <c r="A242">
        <v>9</v>
      </c>
      <c r="B242" t="s">
        <v>695</v>
      </c>
      <c r="C242" t="s">
        <v>725</v>
      </c>
      <c r="D242" s="1" t="s">
        <v>726</v>
      </c>
      <c r="E242" t="s">
        <v>60</v>
      </c>
      <c r="F242" t="s">
        <v>234</v>
      </c>
      <c r="G242" s="2"/>
      <c r="I242">
        <v>0</v>
      </c>
      <c r="L242" s="1"/>
      <c r="M242" t="str">
        <f>IF(Fields[[#This Row],[Reference Entity]]&lt;&gt;"","t" &amp;Fields[[#This Row],[Reference Entity]],"")</f>
        <v/>
      </c>
      <c r="P242" s="1"/>
      <c r="T242" s="1"/>
      <c r="U242" s="1"/>
    </row>
    <row r="243" spans="1:21" ht="57.6" x14ac:dyDescent="0.3">
      <c r="A243">
        <v>10</v>
      </c>
      <c r="B243" t="s">
        <v>695</v>
      </c>
      <c r="C243" t="s">
        <v>719</v>
      </c>
      <c r="D243" s="1" t="s">
        <v>720</v>
      </c>
      <c r="E243" t="s">
        <v>124</v>
      </c>
      <c r="F243" t="s">
        <v>233</v>
      </c>
      <c r="G243" s="2"/>
      <c r="I243">
        <v>0</v>
      </c>
      <c r="K243" s="1" t="s">
        <v>721</v>
      </c>
      <c r="L243" s="1"/>
      <c r="M243" t="str">
        <f>IF(Fields[[#This Row],[Reference Entity]]&lt;&gt;"","t" &amp;Fields[[#This Row],[Reference Entity]],"")</f>
        <v/>
      </c>
      <c r="P243" s="1"/>
      <c r="T243" s="1"/>
      <c r="U243" s="1"/>
    </row>
    <row r="244" spans="1:21" x14ac:dyDescent="0.3">
      <c r="A244">
        <v>11</v>
      </c>
      <c r="B244" t="s">
        <v>695</v>
      </c>
      <c r="C244" t="s">
        <v>61</v>
      </c>
      <c r="D244" s="1"/>
      <c r="E244" t="s">
        <v>45</v>
      </c>
      <c r="F244" t="s">
        <v>239</v>
      </c>
      <c r="G244" s="2" t="s">
        <v>238</v>
      </c>
      <c r="H244" t="s">
        <v>20</v>
      </c>
      <c r="L244" s="1"/>
      <c r="M244" t="str">
        <f>IF(Fields[[#This Row],[Reference Entity]]&lt;&gt;"","t" &amp;Fields[[#This Row],[Reference Entity]],"")</f>
        <v/>
      </c>
      <c r="P244" s="1"/>
      <c r="T244" s="1"/>
      <c r="U244" s="1"/>
    </row>
    <row r="245" spans="1:21" ht="43.2" x14ac:dyDescent="0.3">
      <c r="A245">
        <v>1</v>
      </c>
      <c r="B245" t="s">
        <v>709</v>
      </c>
      <c r="C245" t="s">
        <v>53</v>
      </c>
      <c r="D245" s="1" t="s">
        <v>71</v>
      </c>
      <c r="E245" t="s">
        <v>488</v>
      </c>
      <c r="F245" t="s">
        <v>487</v>
      </c>
      <c r="G245" s="2"/>
      <c r="L245" s="1" t="s">
        <v>342</v>
      </c>
      <c r="M245" t="str">
        <f>IF(Fields[[#This Row],[Reference Entity]]&lt;&gt;"","t" &amp;Fields[[#This Row],[Reference Entity]],"")</f>
        <v>tPlan</v>
      </c>
      <c r="N245" t="str">
        <f>IF(Fields[[#This Row],[Reference Entity]]&lt;&gt;"",RIGHT(Fields[[#This Row],[Column Name]],LEN(Fields[[#This Row],[Column Name]])-2),"")</f>
        <v>Plan</v>
      </c>
      <c r="O245" t="s">
        <v>142</v>
      </c>
      <c r="P245" s="1"/>
      <c r="Q245" t="s">
        <v>701</v>
      </c>
      <c r="R245" s="1" t="s">
        <v>20</v>
      </c>
      <c r="T245" s="1"/>
      <c r="U245" s="1"/>
    </row>
    <row r="246" spans="1:21" x14ac:dyDescent="0.3">
      <c r="A246">
        <v>2</v>
      </c>
      <c r="B246" t="s">
        <v>709</v>
      </c>
      <c r="C246" t="s">
        <v>700</v>
      </c>
      <c r="D246" s="1" t="s">
        <v>706</v>
      </c>
      <c r="E246" t="s">
        <v>19</v>
      </c>
      <c r="F246" t="s">
        <v>239</v>
      </c>
      <c r="G246" s="2">
        <v>50</v>
      </c>
      <c r="L246" s="1"/>
      <c r="M246" t="str">
        <f>IF(Fields[[#This Row],[Reference Entity]]&lt;&gt;"","t" &amp;Fields[[#This Row],[Reference Entity]],"")</f>
        <v/>
      </c>
      <c r="P246" s="1"/>
      <c r="Q246" t="s">
        <v>701</v>
      </c>
      <c r="R246" s="1" t="s">
        <v>20</v>
      </c>
      <c r="T246" s="1"/>
      <c r="U246" s="1"/>
    </row>
    <row r="247" spans="1:21" x14ac:dyDescent="0.3">
      <c r="A247">
        <v>3</v>
      </c>
      <c r="B247" t="s">
        <v>709</v>
      </c>
      <c r="C247" t="s">
        <v>704</v>
      </c>
      <c r="D247" s="1" t="s">
        <v>705</v>
      </c>
      <c r="E247" t="s">
        <v>45</v>
      </c>
      <c r="F247" t="s">
        <v>239</v>
      </c>
      <c r="G247" s="2" t="s">
        <v>238</v>
      </c>
      <c r="H247" t="s">
        <v>20</v>
      </c>
      <c r="L247" s="1"/>
      <c r="M247" t="str">
        <f>IF(Fields[[#This Row],[Reference Entity]]&lt;&gt;"","t" &amp;Fields[[#This Row],[Reference Entity]],"")</f>
        <v/>
      </c>
      <c r="P247" s="1"/>
      <c r="T247" s="1"/>
      <c r="U247" s="1"/>
    </row>
    <row r="248" spans="1:21" x14ac:dyDescent="0.3">
      <c r="A248">
        <v>4</v>
      </c>
      <c r="B248" t="s">
        <v>709</v>
      </c>
      <c r="C248" t="s">
        <v>727</v>
      </c>
      <c r="D248" s="1"/>
      <c r="E248" t="s">
        <v>17</v>
      </c>
      <c r="F248" t="s">
        <v>388</v>
      </c>
      <c r="G248" s="2"/>
      <c r="H248" t="s">
        <v>20</v>
      </c>
      <c r="L248" s="1"/>
      <c r="M248" t="str">
        <f>IF(Fields[[#This Row],[Reference Entity]]&lt;&gt;"","t" &amp;Fields[[#This Row],[Reference Entity]],"")</f>
        <v/>
      </c>
      <c r="P248" s="1"/>
      <c r="T248" s="1"/>
      <c r="U248" s="1"/>
    </row>
    <row r="249" spans="1:21" ht="43.2" x14ac:dyDescent="0.3">
      <c r="A249">
        <v>1</v>
      </c>
      <c r="B249" t="s">
        <v>694</v>
      </c>
      <c r="C249" t="s">
        <v>53</v>
      </c>
      <c r="D249" s="1" t="s">
        <v>71</v>
      </c>
      <c r="E249" t="s">
        <v>488</v>
      </c>
      <c r="F249" t="s">
        <v>487</v>
      </c>
      <c r="G249" s="2"/>
      <c r="L249" s="1" t="s">
        <v>342</v>
      </c>
      <c r="M249" t="str">
        <f>IF(Fields[[#This Row],[Reference Entity]]&lt;&gt;"","t" &amp;Fields[[#This Row],[Reference Entity]],"")</f>
        <v>tPlan</v>
      </c>
      <c r="N249" t="str">
        <f>IF(Fields[[#This Row],[Reference Entity]]&lt;&gt;"",RIGHT(Fields[[#This Row],[Column Name]],LEN(Fields[[#This Row],[Column Name]])-2),"")</f>
        <v>Plan</v>
      </c>
      <c r="O249" t="s">
        <v>142</v>
      </c>
      <c r="P249" s="1"/>
      <c r="Q249" t="s">
        <v>671</v>
      </c>
      <c r="R249" t="s">
        <v>20</v>
      </c>
      <c r="S249"/>
    </row>
    <row r="250" spans="1:21" x14ac:dyDescent="0.3">
      <c r="A250">
        <v>2</v>
      </c>
      <c r="B250" t="s">
        <v>694</v>
      </c>
      <c r="C250" t="s">
        <v>662</v>
      </c>
      <c r="D250" s="1" t="s">
        <v>699</v>
      </c>
      <c r="E250" t="s">
        <v>19</v>
      </c>
      <c r="F250" t="s">
        <v>239</v>
      </c>
      <c r="G250" s="2">
        <v>50</v>
      </c>
      <c r="L250" s="1"/>
      <c r="M250" t="str">
        <f>IF(Fields[[#This Row],[Reference Entity]]&lt;&gt;"","t" &amp;Fields[[#This Row],[Reference Entity]],"")</f>
        <v/>
      </c>
      <c r="P250" s="1"/>
      <c r="Q250" t="s">
        <v>671</v>
      </c>
      <c r="R250" s="1" t="s">
        <v>20</v>
      </c>
      <c r="T250" s="1"/>
      <c r="U250" s="1"/>
    </row>
    <row r="251" spans="1:21" x14ac:dyDescent="0.3">
      <c r="A251">
        <v>3</v>
      </c>
      <c r="B251" t="s">
        <v>694</v>
      </c>
      <c r="C251" t="s">
        <v>685</v>
      </c>
      <c r="D251" s="1" t="s">
        <v>686</v>
      </c>
      <c r="E251" t="s">
        <v>488</v>
      </c>
      <c r="F251" t="s">
        <v>487</v>
      </c>
      <c r="G251" s="2"/>
      <c r="J251" s="1"/>
      <c r="L251" s="1" t="s">
        <v>335</v>
      </c>
      <c r="M251" t="str">
        <f>IF(Fields[[#This Row],[Reference Entity]]&lt;&gt;"","t" &amp;Fields[[#This Row],[Reference Entity]],"")</f>
        <v>tAccount</v>
      </c>
      <c r="N251" t="str">
        <f>IF(Fields[[#This Row],[Reference Entity]]&lt;&gt;"",RIGHT(Fields[[#This Row],[Column Name]],LEN(Fields[[#This Row],[Column Name]])-2),"")</f>
        <v>AccountSalary</v>
      </c>
      <c r="P251" s="1"/>
      <c r="Q251" t="str">
        <f>Fields[[#This Row],[Column Name]]</f>
        <v>idAccountSalary</v>
      </c>
      <c r="T251" s="1"/>
      <c r="U251" s="1"/>
    </row>
    <row r="252" spans="1:21" x14ac:dyDescent="0.3">
      <c r="A252">
        <v>4</v>
      </c>
      <c r="B252" t="s">
        <v>694</v>
      </c>
      <c r="C252" t="s">
        <v>687</v>
      </c>
      <c r="D252" s="1" t="s">
        <v>688</v>
      </c>
      <c r="E252" t="s">
        <v>124</v>
      </c>
      <c r="F252" t="s">
        <v>233</v>
      </c>
      <c r="G252" s="2"/>
      <c r="I252">
        <v>28</v>
      </c>
      <c r="L252" s="1"/>
      <c r="M252" t="str">
        <f>IF(Fields[[#This Row],[Reference Entity]]&lt;&gt;"","t" &amp;Fields[[#This Row],[Reference Entity]],"")</f>
        <v/>
      </c>
      <c r="P252" s="1"/>
      <c r="T252" s="1"/>
      <c r="U252" s="1"/>
    </row>
    <row r="253" spans="1:21" x14ac:dyDescent="0.3">
      <c r="A253">
        <v>5</v>
      </c>
      <c r="B253" t="s">
        <v>694</v>
      </c>
      <c r="C253" t="s">
        <v>702</v>
      </c>
      <c r="D253" s="1" t="s">
        <v>703</v>
      </c>
      <c r="E253" t="s">
        <v>45</v>
      </c>
      <c r="F253" t="s">
        <v>239</v>
      </c>
      <c r="G253" s="2" t="s">
        <v>238</v>
      </c>
      <c r="H253" t="s">
        <v>20</v>
      </c>
      <c r="L253" s="1"/>
      <c r="M253" t="str">
        <f>IF(Fields[[#This Row],[Reference Entity]]&lt;&gt;"","t" &amp;Fields[[#This Row],[Reference Entity]],"")</f>
        <v/>
      </c>
      <c r="P253" s="1"/>
      <c r="T253" s="1"/>
      <c r="U253" s="1"/>
    </row>
    <row r="254" spans="1:21" x14ac:dyDescent="0.3">
      <c r="A254">
        <v>6</v>
      </c>
      <c r="B254" t="s">
        <v>694</v>
      </c>
      <c r="C254" t="s">
        <v>670</v>
      </c>
      <c r="D254" s="1" t="s">
        <v>684</v>
      </c>
      <c r="E254" t="s">
        <v>18</v>
      </c>
      <c r="F254" t="s">
        <v>6</v>
      </c>
      <c r="G254" s="2"/>
      <c r="I254">
        <v>1</v>
      </c>
      <c r="L254" s="1"/>
      <c r="M254" t="str">
        <f>IF(Fields[[#This Row],[Reference Entity]]&lt;&gt;"","t" &amp;Fields[[#This Row],[Reference Entity]],"")</f>
        <v/>
      </c>
      <c r="P254" s="1"/>
      <c r="T254" s="1"/>
      <c r="U254" s="1"/>
    </row>
    <row r="255" spans="1:21" x14ac:dyDescent="0.3">
      <c r="A255">
        <v>7</v>
      </c>
      <c r="B255" t="s">
        <v>694</v>
      </c>
      <c r="C255" t="s">
        <v>727</v>
      </c>
      <c r="D255" s="1"/>
      <c r="E255" t="s">
        <v>17</v>
      </c>
      <c r="F255" t="s">
        <v>388</v>
      </c>
      <c r="G255" s="2"/>
      <c r="H255" t="s">
        <v>20</v>
      </c>
      <c r="L255" s="1"/>
      <c r="M255" t="str">
        <f>IF(Fields[[#This Row],[Reference Entity]]&lt;&gt;"","t" &amp;Fields[[#This Row],[Reference Entity]],"")</f>
        <v/>
      </c>
      <c r="P255" s="1"/>
      <c r="T255" s="1"/>
      <c r="U255" s="1"/>
    </row>
    <row r="256" spans="1:21" ht="28.8" x14ac:dyDescent="0.3">
      <c r="A256">
        <v>1</v>
      </c>
      <c r="B256" t="s">
        <v>698</v>
      </c>
      <c r="C256" t="s">
        <v>647</v>
      </c>
      <c r="D256" s="1" t="s">
        <v>689</v>
      </c>
      <c r="E256" t="s">
        <v>488</v>
      </c>
      <c r="F256" t="s">
        <v>487</v>
      </c>
      <c r="G256" s="2"/>
      <c r="L256" s="1" t="s">
        <v>690</v>
      </c>
      <c r="M256" t="str">
        <f>IF(Fields[[#This Row],[Reference Entity]]&lt;&gt;"","t" &amp;Fields[[#This Row],[Reference Entity]],"")</f>
        <v>tPlanHRTariff</v>
      </c>
      <c r="N256" t="str">
        <f>IF(Fields[[#This Row],[Reference Entity]]&lt;&gt;"",RIGHT(Fields[[#This Row],[Column Name]],LEN(Fields[[#This Row],[Column Name]])-2),"")</f>
        <v>Tariff</v>
      </c>
      <c r="P256" s="1"/>
      <c r="T256" s="1"/>
      <c r="U256" s="1"/>
    </row>
    <row r="257" spans="1:22" x14ac:dyDescent="0.3">
      <c r="A257">
        <v>2</v>
      </c>
      <c r="B257" t="s">
        <v>698</v>
      </c>
      <c r="C257" t="s">
        <v>281</v>
      </c>
      <c r="D257" s="1" t="s">
        <v>672</v>
      </c>
      <c r="E257" t="s">
        <v>17</v>
      </c>
      <c r="F257" t="s">
        <v>388</v>
      </c>
      <c r="G257" s="2"/>
      <c r="H257" t="s">
        <v>20</v>
      </c>
      <c r="L257" s="1"/>
      <c r="M257" t="str">
        <f>IF(Fields[[#This Row],[Reference Entity]]&lt;&gt;"","t" &amp;Fields[[#This Row],[Reference Entity]],"")</f>
        <v/>
      </c>
      <c r="P257" s="1"/>
      <c r="T257" s="1"/>
      <c r="U257" s="1"/>
    </row>
    <row r="258" spans="1:22" x14ac:dyDescent="0.3">
      <c r="A258">
        <v>3</v>
      </c>
      <c r="B258" t="s">
        <v>698</v>
      </c>
      <c r="C258" t="s">
        <v>673</v>
      </c>
      <c r="D258" s="1" t="s">
        <v>677</v>
      </c>
      <c r="E258" t="s">
        <v>124</v>
      </c>
      <c r="F258" t="s">
        <v>233</v>
      </c>
      <c r="G258" s="2"/>
      <c r="I258">
        <v>40</v>
      </c>
      <c r="L258" s="1"/>
      <c r="M258" t="str">
        <f>IF(Fields[[#This Row],[Reference Entity]]&lt;&gt;"","t" &amp;Fields[[#This Row],[Reference Entity]],"")</f>
        <v/>
      </c>
      <c r="P258" s="1"/>
      <c r="T258" s="1"/>
      <c r="U258" s="1"/>
    </row>
    <row r="259" spans="1:22" x14ac:dyDescent="0.3">
      <c r="A259">
        <v>4</v>
      </c>
      <c r="B259" t="s">
        <v>698</v>
      </c>
      <c r="C259" t="s">
        <v>649</v>
      </c>
      <c r="D259" s="1" t="s">
        <v>655</v>
      </c>
      <c r="E259" t="s">
        <v>60</v>
      </c>
      <c r="F259" t="s">
        <v>234</v>
      </c>
      <c r="G259" s="2"/>
      <c r="I259">
        <v>1</v>
      </c>
      <c r="L259" s="1"/>
      <c r="M259" t="str">
        <f>IF(Fields[[#This Row],[Reference Entity]]&lt;&gt;"","t" &amp;Fields[[#This Row],[Reference Entity]],"")</f>
        <v/>
      </c>
      <c r="P259" s="1"/>
      <c r="T259" s="1"/>
      <c r="U259" s="1"/>
      <c r="V259" t="s">
        <v>469</v>
      </c>
    </row>
    <row r="260" spans="1:22" x14ac:dyDescent="0.3">
      <c r="A260">
        <v>5</v>
      </c>
      <c r="B260" t="s">
        <v>698</v>
      </c>
      <c r="C260" t="s">
        <v>656</v>
      </c>
      <c r="D260" s="1" t="s">
        <v>659</v>
      </c>
      <c r="E260" t="s">
        <v>60</v>
      </c>
      <c r="F260" t="s">
        <v>234</v>
      </c>
      <c r="G260" s="2"/>
      <c r="I260">
        <v>0</v>
      </c>
      <c r="L260" s="1"/>
      <c r="M260" t="str">
        <f>IF(Fields[[#This Row],[Reference Entity]]&lt;&gt;"","t" &amp;Fields[[#This Row],[Reference Entity]],"")</f>
        <v/>
      </c>
      <c r="P260" s="1"/>
      <c r="T260" s="1"/>
      <c r="U260" s="1"/>
      <c r="V260" t="s">
        <v>469</v>
      </c>
    </row>
    <row r="261" spans="1:22" x14ac:dyDescent="0.3">
      <c r="A261">
        <v>6</v>
      </c>
      <c r="B261" t="s">
        <v>698</v>
      </c>
      <c r="C261" t="s">
        <v>657</v>
      </c>
      <c r="D261" s="1" t="s">
        <v>660</v>
      </c>
      <c r="E261" t="s">
        <v>60</v>
      </c>
      <c r="F261" t="s">
        <v>234</v>
      </c>
      <c r="G261" s="2"/>
      <c r="I261">
        <v>0</v>
      </c>
      <c r="L261" s="1"/>
      <c r="M261" t="str">
        <f>IF(Fields[[#This Row],[Reference Entity]]&lt;&gt;"","t" &amp;Fields[[#This Row],[Reference Entity]],"")</f>
        <v/>
      </c>
      <c r="P261" s="1"/>
      <c r="T261" s="1"/>
      <c r="U261" s="1"/>
      <c r="V261" t="s">
        <v>469</v>
      </c>
    </row>
    <row r="262" spans="1:22" x14ac:dyDescent="0.3">
      <c r="A262">
        <v>7</v>
      </c>
      <c r="B262" t="s">
        <v>698</v>
      </c>
      <c r="C262" t="s">
        <v>658</v>
      </c>
      <c r="D262" s="1" t="s">
        <v>661</v>
      </c>
      <c r="E262" t="s">
        <v>60</v>
      </c>
      <c r="F262" t="s">
        <v>234</v>
      </c>
      <c r="G262" s="2"/>
      <c r="I262">
        <v>0</v>
      </c>
      <c r="L262" s="1"/>
      <c r="M262" t="str">
        <f>IF(Fields[[#This Row],[Reference Entity]]&lt;&gt;"","t" &amp;Fields[[#This Row],[Reference Entity]],"")</f>
        <v/>
      </c>
      <c r="P262" s="1"/>
      <c r="T262" s="1"/>
      <c r="U262" s="1"/>
      <c r="V262" t="s">
        <v>469</v>
      </c>
    </row>
    <row r="263" spans="1:22" x14ac:dyDescent="0.3">
      <c r="A263">
        <v>8</v>
      </c>
      <c r="B263" t="s">
        <v>698</v>
      </c>
      <c r="C263" t="s">
        <v>663</v>
      </c>
      <c r="D263" s="1" t="s">
        <v>674</v>
      </c>
      <c r="E263" t="s">
        <v>124</v>
      </c>
      <c r="F263" t="s">
        <v>233</v>
      </c>
      <c r="G263" s="2"/>
      <c r="I263">
        <v>0</v>
      </c>
      <c r="L263" s="1"/>
      <c r="M263" t="str">
        <f>IF(Fields[[#This Row],[Reference Entity]]&lt;&gt;"","t" &amp;Fields[[#This Row],[Reference Entity]],"")</f>
        <v/>
      </c>
      <c r="P263" s="1"/>
      <c r="T263" s="1"/>
      <c r="U263" s="1"/>
    </row>
    <row r="264" spans="1:22" ht="28.8" x14ac:dyDescent="0.3">
      <c r="A264">
        <v>9</v>
      </c>
      <c r="B264" t="s">
        <v>698</v>
      </c>
      <c r="C264" t="s">
        <v>664</v>
      </c>
      <c r="D264" s="1" t="s">
        <v>675</v>
      </c>
      <c r="E264" t="s">
        <v>124</v>
      </c>
      <c r="F264" t="s">
        <v>233</v>
      </c>
      <c r="G264" s="2"/>
      <c r="I264">
        <v>0</v>
      </c>
      <c r="L264" s="1"/>
      <c r="M264" t="str">
        <f>IF(Fields[[#This Row],[Reference Entity]]&lt;&gt;"","t" &amp;Fields[[#This Row],[Reference Entity]],"")</f>
        <v/>
      </c>
      <c r="P264" s="1"/>
      <c r="T264" s="1"/>
      <c r="U264" s="1"/>
    </row>
    <row r="265" spans="1:22" ht="28.8" x14ac:dyDescent="0.3">
      <c r="A265">
        <v>10</v>
      </c>
      <c r="B265" t="s">
        <v>698</v>
      </c>
      <c r="C265" t="s">
        <v>676</v>
      </c>
      <c r="D265" s="1" t="s">
        <v>678</v>
      </c>
      <c r="E265" t="s">
        <v>60</v>
      </c>
      <c r="F265" t="s">
        <v>234</v>
      </c>
      <c r="G265" s="2"/>
      <c r="I265">
        <v>0</v>
      </c>
      <c r="L265" s="1"/>
      <c r="M265" t="str">
        <f>IF(Fields[[#This Row],[Reference Entity]]&lt;&gt;"","t" &amp;Fields[[#This Row],[Reference Entity]],"")</f>
        <v/>
      </c>
      <c r="P265" s="1"/>
      <c r="T265" s="1"/>
      <c r="U265" s="1"/>
    </row>
    <row r="266" spans="1:22" x14ac:dyDescent="0.3">
      <c r="A266">
        <v>11</v>
      </c>
      <c r="B266" t="s">
        <v>698</v>
      </c>
      <c r="C266" t="s">
        <v>665</v>
      </c>
      <c r="D266" s="1" t="s">
        <v>679</v>
      </c>
      <c r="E266" t="s">
        <v>60</v>
      </c>
      <c r="F266" t="s">
        <v>234</v>
      </c>
      <c r="G266" s="2"/>
      <c r="I266">
        <v>0</v>
      </c>
      <c r="L266" s="1"/>
      <c r="M266" t="str">
        <f>IF(Fields[[#This Row],[Reference Entity]]&lt;&gt;"","t" &amp;Fields[[#This Row],[Reference Entity]],"")</f>
        <v/>
      </c>
      <c r="P266" s="1"/>
      <c r="T266" s="1"/>
      <c r="U266" s="1"/>
    </row>
    <row r="267" spans="1:22" x14ac:dyDescent="0.3">
      <c r="A267">
        <v>12</v>
      </c>
      <c r="B267" t="s">
        <v>698</v>
      </c>
      <c r="C267" t="s">
        <v>666</v>
      </c>
      <c r="D267" s="1" t="s">
        <v>680</v>
      </c>
      <c r="E267" t="s">
        <v>60</v>
      </c>
      <c r="F267" t="s">
        <v>234</v>
      </c>
      <c r="G267" s="2"/>
      <c r="I267">
        <v>0</v>
      </c>
      <c r="L267" s="1"/>
      <c r="M267" t="str">
        <f>IF(Fields[[#This Row],[Reference Entity]]&lt;&gt;"","t" &amp;Fields[[#This Row],[Reference Entity]],"")</f>
        <v/>
      </c>
      <c r="P267" s="1"/>
      <c r="T267" s="1"/>
      <c r="U267" s="1"/>
    </row>
    <row r="268" spans="1:22" x14ac:dyDescent="0.3">
      <c r="A268">
        <v>13</v>
      </c>
      <c r="B268" t="s">
        <v>698</v>
      </c>
      <c r="C268" t="s">
        <v>667</v>
      </c>
      <c r="D268" s="1" t="s">
        <v>681</v>
      </c>
      <c r="E268" t="s">
        <v>60</v>
      </c>
      <c r="F268" t="s">
        <v>234</v>
      </c>
      <c r="G268" s="2"/>
      <c r="I268">
        <v>1</v>
      </c>
      <c r="L268" s="1"/>
      <c r="M268" t="str">
        <f>IF(Fields[[#This Row],[Reference Entity]]&lt;&gt;"","t" &amp;Fields[[#This Row],[Reference Entity]],"")</f>
        <v/>
      </c>
      <c r="P268" s="1"/>
      <c r="T268" s="1"/>
      <c r="U268" s="1"/>
    </row>
    <row r="269" spans="1:22" x14ac:dyDescent="0.3">
      <c r="A269">
        <v>14</v>
      </c>
      <c r="B269" t="s">
        <v>698</v>
      </c>
      <c r="C269" t="s">
        <v>668</v>
      </c>
      <c r="D269" s="1" t="s">
        <v>682</v>
      </c>
      <c r="E269" t="s">
        <v>60</v>
      </c>
      <c r="F269" t="s">
        <v>234</v>
      </c>
      <c r="G269" s="2"/>
      <c r="H269" t="s">
        <v>20</v>
      </c>
      <c r="L269" s="1"/>
      <c r="M269" t="str">
        <f>IF(Fields[[#This Row],[Reference Entity]]&lt;&gt;"","t" &amp;Fields[[#This Row],[Reference Entity]],"")</f>
        <v/>
      </c>
      <c r="P269" s="1"/>
      <c r="T269" s="1"/>
      <c r="U269" s="1"/>
    </row>
    <row r="270" spans="1:22" x14ac:dyDescent="0.3">
      <c r="A270">
        <v>15</v>
      </c>
      <c r="B270" t="s">
        <v>698</v>
      </c>
      <c r="C270" t="s">
        <v>669</v>
      </c>
      <c r="D270" s="1" t="s">
        <v>683</v>
      </c>
      <c r="E270" t="s">
        <v>124</v>
      </c>
      <c r="F270" t="s">
        <v>233</v>
      </c>
      <c r="G270" s="2"/>
      <c r="I270">
        <v>12</v>
      </c>
      <c r="L270" s="1"/>
      <c r="M270" t="str">
        <f>IF(Fields[[#This Row],[Reference Entity]]&lt;&gt;"","t" &amp;Fields[[#This Row],[Reference Entity]],"")</f>
        <v/>
      </c>
      <c r="P270" s="1"/>
      <c r="T270" s="1"/>
      <c r="U270" s="1"/>
    </row>
    <row r="271" spans="1:22" ht="43.2" x14ac:dyDescent="0.3">
      <c r="A271">
        <v>1</v>
      </c>
      <c r="B271" t="s">
        <v>453</v>
      </c>
      <c r="C271" t="s">
        <v>53</v>
      </c>
      <c r="D271" s="1" t="s">
        <v>71</v>
      </c>
      <c r="E271" t="s">
        <v>488</v>
      </c>
      <c r="F271" t="s">
        <v>487</v>
      </c>
      <c r="G271" s="2"/>
      <c r="L271" s="1" t="s">
        <v>342</v>
      </c>
      <c r="M271" t="str">
        <f>IF(Fields[[#This Row],[Reference Entity]]&lt;&gt;"","t" &amp;Fields[[#This Row],[Reference Entity]],"")</f>
        <v>tPlan</v>
      </c>
      <c r="N271" t="str">
        <f>IF(Fields[[#This Row],[Reference Entity]]&lt;&gt;"",RIGHT(Fields[[#This Row],[Column Name]],LEN(Fields[[#This Row],[Column Name]])-2),"")</f>
        <v>Plan</v>
      </c>
      <c r="O271" t="s">
        <v>142</v>
      </c>
      <c r="P271" s="1"/>
      <c r="T271" s="1"/>
      <c r="U271" s="1"/>
    </row>
    <row r="272" spans="1:22" x14ac:dyDescent="0.3">
      <c r="A272">
        <v>2</v>
      </c>
      <c r="B272" t="s">
        <v>453</v>
      </c>
      <c r="C272" t="s">
        <v>454</v>
      </c>
      <c r="D272" s="1" t="s">
        <v>455</v>
      </c>
      <c r="E272" t="s">
        <v>19</v>
      </c>
      <c r="F272" t="s">
        <v>239</v>
      </c>
      <c r="G272" s="2">
        <v>30</v>
      </c>
      <c r="L272" s="1" t="s">
        <v>382</v>
      </c>
      <c r="M272" t="str">
        <f>IF(Fields[[#This Row],[Reference Entity]]&lt;&gt;"","t" &amp;Fields[[#This Row],[Reference Entity]],"")</f>
        <v/>
      </c>
      <c r="N272" t="str">
        <f>IF(Fields[[#This Row],[Reference Entity]]&lt;&gt;"",RIGHT(Fields[[#This Row],[Column Name]],LEN(Fields[[#This Row],[Column Name]])-2),"")</f>
        <v/>
      </c>
      <c r="P272" s="1"/>
      <c r="T272" s="1"/>
      <c r="U272" s="1"/>
    </row>
    <row r="273" spans="1:22" x14ac:dyDescent="0.3">
      <c r="A273">
        <v>3</v>
      </c>
      <c r="B273" t="s">
        <v>453</v>
      </c>
      <c r="C273" t="s">
        <v>456</v>
      </c>
      <c r="D273" s="1" t="s">
        <v>457</v>
      </c>
      <c r="E273" t="s">
        <v>124</v>
      </c>
      <c r="F273" t="s">
        <v>233</v>
      </c>
      <c r="G273" s="2"/>
      <c r="I273">
        <v>12</v>
      </c>
      <c r="K273" s="1" t="s">
        <v>597</v>
      </c>
      <c r="L273" s="1" t="s">
        <v>382</v>
      </c>
      <c r="M273" t="str">
        <f>IF(Fields[[#This Row],[Reference Entity]]&lt;&gt;"","t" &amp;Fields[[#This Row],[Reference Entity]],"")</f>
        <v/>
      </c>
      <c r="N273" t="str">
        <f>IF(Fields[[#This Row],[Reference Entity]]&lt;&gt;"",RIGHT(Fields[[#This Row],[Column Name]],LEN(Fields[[#This Row],[Column Name]])-2),"")</f>
        <v/>
      </c>
      <c r="P273" s="1"/>
      <c r="T273" s="1"/>
      <c r="U273" s="1"/>
    </row>
    <row r="274" spans="1:22" x14ac:dyDescent="0.3">
      <c r="A274">
        <v>4</v>
      </c>
      <c r="B274" t="s">
        <v>453</v>
      </c>
      <c r="C274" t="s">
        <v>458</v>
      </c>
      <c r="D274" s="1" t="s">
        <v>459</v>
      </c>
      <c r="E274" t="s">
        <v>60</v>
      </c>
      <c r="F274" t="s">
        <v>234</v>
      </c>
      <c r="G274" s="2"/>
      <c r="I274">
        <v>0</v>
      </c>
      <c r="L274" s="1" t="s">
        <v>382</v>
      </c>
      <c r="M274" t="str">
        <f>IF(Fields[[#This Row],[Reference Entity]]&lt;&gt;"","t" &amp;Fields[[#This Row],[Reference Entity]],"")</f>
        <v/>
      </c>
      <c r="N274" t="str">
        <f>IF(Fields[[#This Row],[Reference Entity]]&lt;&gt;"",RIGHT(Fields[[#This Row],[Column Name]],LEN(Fields[[#This Row],[Column Name]])-2),"")</f>
        <v/>
      </c>
      <c r="P274" s="1"/>
      <c r="T274" s="1"/>
      <c r="U274" s="1"/>
    </row>
    <row r="275" spans="1:22" x14ac:dyDescent="0.3">
      <c r="A275">
        <v>5</v>
      </c>
      <c r="B275" t="s">
        <v>453</v>
      </c>
      <c r="C275" t="s">
        <v>464</v>
      </c>
      <c r="D275" s="1" t="s">
        <v>465</v>
      </c>
      <c r="E275" t="s">
        <v>45</v>
      </c>
      <c r="F275" t="s">
        <v>239</v>
      </c>
      <c r="G275" s="2" t="s">
        <v>238</v>
      </c>
      <c r="H275" t="s">
        <v>20</v>
      </c>
      <c r="L275" s="1" t="s">
        <v>382</v>
      </c>
      <c r="M275" t="str">
        <f>IF(Fields[[#This Row],[Reference Entity]]&lt;&gt;"","t" &amp;Fields[[#This Row],[Reference Entity]],"")</f>
        <v/>
      </c>
      <c r="N275" t="str">
        <f>IF(Fields[[#This Row],[Reference Entity]]&lt;&gt;"",RIGHT(Fields[[#This Row],[Column Name]],LEN(Fields[[#This Row],[Column Name]])-2),"")</f>
        <v/>
      </c>
      <c r="P275" s="1"/>
      <c r="T275" s="1"/>
      <c r="U275" s="1"/>
      <c r="V275" t="s">
        <v>466</v>
      </c>
    </row>
    <row r="276" spans="1:22" ht="43.2" x14ac:dyDescent="0.3">
      <c r="A276">
        <v>1</v>
      </c>
      <c r="B276" t="s">
        <v>66</v>
      </c>
      <c r="C276" t="s">
        <v>53</v>
      </c>
      <c r="D276" s="1" t="s">
        <v>71</v>
      </c>
      <c r="E276" t="s">
        <v>488</v>
      </c>
      <c r="F276" t="s">
        <v>487</v>
      </c>
      <c r="G276" s="2"/>
      <c r="L276" s="1" t="s">
        <v>342</v>
      </c>
      <c r="M276" t="str">
        <f>IF(Fields[[#This Row],[Reference Entity]]&lt;&gt;"","t" &amp;Fields[[#This Row],[Reference Entity]],"")</f>
        <v>tPlan</v>
      </c>
      <c r="N276" t="str">
        <f>IF(Fields[[#This Row],[Reference Entity]]&lt;&gt;"",RIGHT(Fields[[#This Row],[Column Name]],LEN(Fields[[#This Row],[Column Name]])-2),"")</f>
        <v>Plan</v>
      </c>
      <c r="O276" t="s">
        <v>142</v>
      </c>
      <c r="P276" s="1"/>
      <c r="Q276" t="s">
        <v>279</v>
      </c>
      <c r="R276" t="s">
        <v>20</v>
      </c>
      <c r="S276"/>
    </row>
    <row r="277" spans="1:22" x14ac:dyDescent="0.3">
      <c r="A277">
        <v>2</v>
      </c>
      <c r="B277" t="s">
        <v>66</v>
      </c>
      <c r="C277" t="s">
        <v>321</v>
      </c>
      <c r="D277" s="1" t="s">
        <v>452</v>
      </c>
      <c r="E277" t="s">
        <v>124</v>
      </c>
      <c r="F277" t="s">
        <v>233</v>
      </c>
      <c r="G277" s="2"/>
      <c r="I277">
        <v>0</v>
      </c>
      <c r="K277" t="s">
        <v>321</v>
      </c>
      <c r="L277" s="1" t="s">
        <v>382</v>
      </c>
      <c r="M277" t="str">
        <f>IF(Fields[[#This Row],[Reference Entity]]&lt;&gt;"","t" &amp;Fields[[#This Row],[Reference Entity]],"")</f>
        <v/>
      </c>
      <c r="N277" t="str">
        <f>IF(Fields[[#This Row],[Reference Entity]]&lt;&gt;"",RIGHT(Fields[[#This Row],[Column Name]],LEN(Fields[[#This Row],[Column Name]])-2),"")</f>
        <v/>
      </c>
      <c r="P277" s="1"/>
      <c r="Q277" t="s">
        <v>279</v>
      </c>
      <c r="R277" t="s">
        <v>20</v>
      </c>
      <c r="S277"/>
    </row>
    <row r="278" spans="1:22" x14ac:dyDescent="0.3">
      <c r="A278">
        <v>3</v>
      </c>
      <c r="B278" t="s">
        <v>66</v>
      </c>
      <c r="C278" t="s">
        <v>311</v>
      </c>
      <c r="D278" s="1" t="s">
        <v>108</v>
      </c>
      <c r="E278" t="s">
        <v>19</v>
      </c>
      <c r="F278" t="s">
        <v>239</v>
      </c>
      <c r="G278" s="2">
        <v>30</v>
      </c>
      <c r="L278" s="1" t="s">
        <v>382</v>
      </c>
      <c r="M278" t="str">
        <f>IF(Fields[[#This Row],[Reference Entity]]&lt;&gt;"","t" &amp;Fields[[#This Row],[Reference Entity]],"")</f>
        <v/>
      </c>
      <c r="N278" t="str">
        <f>IF(Fields[[#This Row],[Reference Entity]]&lt;&gt;"",RIGHT(Fields[[#This Row],[Column Name]],LEN(Fields[[#This Row],[Column Name]])-2),"")</f>
        <v/>
      </c>
      <c r="P278" s="1"/>
      <c r="Q278" t="s">
        <v>279</v>
      </c>
      <c r="R278" t="s">
        <v>20</v>
      </c>
      <c r="S278"/>
    </row>
    <row r="279" spans="1:22" x14ac:dyDescent="0.3">
      <c r="A279">
        <v>4</v>
      </c>
      <c r="B279" t="s">
        <v>66</v>
      </c>
      <c r="C279" t="s">
        <v>125</v>
      </c>
      <c r="D279" s="1" t="s">
        <v>128</v>
      </c>
      <c r="E279" t="s">
        <v>60</v>
      </c>
      <c r="F279" t="s">
        <v>234</v>
      </c>
      <c r="G279" s="2"/>
      <c r="I279">
        <v>0</v>
      </c>
      <c r="L279" s="1" t="s">
        <v>382</v>
      </c>
      <c r="M279" t="str">
        <f>IF(Fields[[#This Row],[Reference Entity]]&lt;&gt;"","t" &amp;Fields[[#This Row],[Reference Entity]],"")</f>
        <v/>
      </c>
      <c r="N279" t="str">
        <f>IF(Fields[[#This Row],[Reference Entity]]&lt;&gt;"",RIGHT(Fields[[#This Row],[Column Name]],LEN(Fields[[#This Row],[Column Name]])-2),"")</f>
        <v/>
      </c>
      <c r="P279" s="1"/>
      <c r="R279"/>
      <c r="S279"/>
    </row>
    <row r="280" spans="1:22" x14ac:dyDescent="0.3">
      <c r="A280">
        <v>5</v>
      </c>
      <c r="B280" t="s">
        <v>66</v>
      </c>
      <c r="C280" t="s">
        <v>126</v>
      </c>
      <c r="D280" s="1" t="s">
        <v>129</v>
      </c>
      <c r="E280" t="s">
        <v>17</v>
      </c>
      <c r="F280" t="s">
        <v>388</v>
      </c>
      <c r="G280" s="2"/>
      <c r="H280" t="s">
        <v>20</v>
      </c>
      <c r="L280" s="1" t="s">
        <v>382</v>
      </c>
      <c r="M280" t="str">
        <f>IF(Fields[[#This Row],[Reference Entity]]&lt;&gt;"","t" &amp;Fields[[#This Row],[Reference Entity]],"")</f>
        <v/>
      </c>
      <c r="N280" t="str">
        <f>IF(Fields[[#This Row],[Reference Entity]]&lt;&gt;"",RIGHT(Fields[[#This Row],[Column Name]],LEN(Fields[[#This Row],[Column Name]])-2),"")</f>
        <v/>
      </c>
      <c r="P280" s="1"/>
      <c r="R280"/>
      <c r="S280"/>
    </row>
    <row r="281" spans="1:22" x14ac:dyDescent="0.3">
      <c r="A281">
        <v>6</v>
      </c>
      <c r="B281" t="s">
        <v>66</v>
      </c>
      <c r="C281" t="s">
        <v>127</v>
      </c>
      <c r="D281" s="1" t="s">
        <v>130</v>
      </c>
      <c r="E281" t="s">
        <v>19</v>
      </c>
      <c r="F281" t="s">
        <v>239</v>
      </c>
      <c r="G281" s="2">
        <v>30</v>
      </c>
      <c r="H281" t="s">
        <v>20</v>
      </c>
      <c r="L281" s="1" t="s">
        <v>382</v>
      </c>
      <c r="M281" t="str">
        <f>IF(Fields[[#This Row],[Reference Entity]]&lt;&gt;"","t" &amp;Fields[[#This Row],[Reference Entity]],"")</f>
        <v/>
      </c>
      <c r="N281" t="str">
        <f>IF(Fields[[#This Row],[Reference Entity]]&lt;&gt;"",RIGHT(Fields[[#This Row],[Column Name]],LEN(Fields[[#This Row],[Column Name]])-2),"")</f>
        <v/>
      </c>
      <c r="P281" s="1"/>
      <c r="R281"/>
      <c r="S281"/>
    </row>
    <row r="282" spans="1:22" x14ac:dyDescent="0.3">
      <c r="A282">
        <v>7</v>
      </c>
      <c r="B282" t="s">
        <v>66</v>
      </c>
      <c r="C282" t="s">
        <v>323</v>
      </c>
      <c r="D282" s="1" t="s">
        <v>131</v>
      </c>
      <c r="E282" t="s">
        <v>19</v>
      </c>
      <c r="F282" t="s">
        <v>239</v>
      </c>
      <c r="G282" s="2">
        <v>15</v>
      </c>
      <c r="H282" t="s">
        <v>20</v>
      </c>
      <c r="L282" s="1" t="s">
        <v>382</v>
      </c>
      <c r="M282" t="str">
        <f>IF(Fields[[#This Row],[Reference Entity]]&lt;&gt;"","t" &amp;Fields[[#This Row],[Reference Entity]],"")</f>
        <v/>
      </c>
      <c r="N282" t="str">
        <f>IF(Fields[[#This Row],[Reference Entity]]&lt;&gt;"",RIGHT(Fields[[#This Row],[Column Name]],LEN(Fields[[#This Row],[Column Name]])-2),"")</f>
        <v/>
      </c>
      <c r="P282" s="1"/>
      <c r="R282"/>
      <c r="S282"/>
    </row>
    <row r="283" spans="1:22" x14ac:dyDescent="0.3">
      <c r="A283">
        <v>8</v>
      </c>
      <c r="B283" t="s">
        <v>66</v>
      </c>
      <c r="C283" t="s">
        <v>290</v>
      </c>
      <c r="D283" s="1" t="s">
        <v>109</v>
      </c>
      <c r="E283" t="s">
        <v>45</v>
      </c>
      <c r="F283" t="s">
        <v>239</v>
      </c>
      <c r="G283" s="2" t="s">
        <v>238</v>
      </c>
      <c r="H283" t="s">
        <v>20</v>
      </c>
      <c r="L283" s="1" t="s">
        <v>382</v>
      </c>
      <c r="M283" t="str">
        <f>IF(Fields[[#This Row],[Reference Entity]]&lt;&gt;"","t" &amp;Fields[[#This Row],[Reference Entity]],"")</f>
        <v/>
      </c>
      <c r="N283" t="str">
        <f>IF(Fields[[#This Row],[Reference Entity]]&lt;&gt;"",RIGHT(Fields[[#This Row],[Column Name]],LEN(Fields[[#This Row],[Column Name]])-2),"")</f>
        <v/>
      </c>
      <c r="P283" s="1"/>
      <c r="R283"/>
      <c r="S283"/>
    </row>
    <row r="284" spans="1:22" ht="28.8" x14ac:dyDescent="0.3">
      <c r="A284">
        <v>1</v>
      </c>
      <c r="B284" t="s">
        <v>163</v>
      </c>
      <c r="C284" t="s">
        <v>53</v>
      </c>
      <c r="D284" s="1" t="s">
        <v>224</v>
      </c>
      <c r="E284" t="s">
        <v>488</v>
      </c>
      <c r="F284" t="s">
        <v>487</v>
      </c>
      <c r="G284" s="2"/>
      <c r="J284" s="1"/>
      <c r="L284" s="1" t="s">
        <v>342</v>
      </c>
      <c r="M284" t="str">
        <f>IF(Fields[[#This Row],[Reference Entity]]&lt;&gt;"","t" &amp;Fields[[#This Row],[Reference Entity]],"")</f>
        <v>tPlan</v>
      </c>
      <c r="N284" t="str">
        <f>IF(Fields[[#This Row],[Reference Entity]]&lt;&gt;"",RIGHT(Fields[[#This Row],[Column Name]],LEN(Fields[[#This Row],[Column Name]])-2),"")</f>
        <v>Plan</v>
      </c>
      <c r="O284" t="s">
        <v>142</v>
      </c>
      <c r="P284" s="1"/>
      <c r="Q284" t="str">
        <f>Fields[[#This Row],[Column Name]]</f>
        <v>idPlan</v>
      </c>
      <c r="S284"/>
    </row>
    <row r="285" spans="1:22" x14ac:dyDescent="0.3">
      <c r="A285">
        <v>2</v>
      </c>
      <c r="B285" t="s">
        <v>163</v>
      </c>
      <c r="C285" t="s">
        <v>222</v>
      </c>
      <c r="D285" s="1" t="s">
        <v>223</v>
      </c>
      <c r="E285" t="s">
        <v>488</v>
      </c>
      <c r="F285" t="s">
        <v>487</v>
      </c>
      <c r="G285" s="2"/>
      <c r="J285" s="1"/>
      <c r="L285" s="1" t="s">
        <v>350</v>
      </c>
      <c r="M285" t="str">
        <f>IF(Fields[[#This Row],[Reference Entity]]&lt;&gt;"","t" &amp;Fields[[#This Row],[Reference Entity]],"")</f>
        <v>tBookTransaction</v>
      </c>
      <c r="N285" t="str">
        <f>IF(Fields[[#This Row],[Reference Entity]]&lt;&gt;"",RIGHT(Fields[[#This Row],[Column Name]],LEN(Fields[[#This Row],[Column Name]])-2),"")</f>
        <v>BookTransaction</v>
      </c>
      <c r="P285" s="1"/>
      <c r="Q285" t="str">
        <f>Fields[[#This Row],[Column Name]]</f>
        <v>idBookTransaction</v>
      </c>
      <c r="S285"/>
    </row>
    <row r="286" spans="1:22" x14ac:dyDescent="0.3">
      <c r="A286">
        <v>1</v>
      </c>
      <c r="B286" t="s">
        <v>426</v>
      </c>
      <c r="C286" t="s">
        <v>5</v>
      </c>
      <c r="D286" s="1" t="s">
        <v>268</v>
      </c>
      <c r="E286" t="s">
        <v>488</v>
      </c>
      <c r="F286" t="s">
        <v>487</v>
      </c>
      <c r="G286" s="2"/>
      <c r="J286" s="1"/>
      <c r="L286" s="1" t="s">
        <v>147</v>
      </c>
      <c r="M286" t="str">
        <f>IF(Fields[[#This Row],[Reference Entity]]&lt;&gt;"","t" &amp;Fields[[#This Row],[Reference Entity]],"")</f>
        <v>tClient</v>
      </c>
      <c r="N286" t="str">
        <f>IF(Fields[[#This Row],[Reference Entity]]&lt;&gt;"",RIGHT(Fields[[#This Row],[Column Name]],LEN(Fields[[#This Row],[Column Name]])-2),"")</f>
        <v>Client</v>
      </c>
      <c r="P286" s="1"/>
      <c r="Q286" s="1" t="s">
        <v>25</v>
      </c>
      <c r="R286" s="1" t="s">
        <v>20</v>
      </c>
      <c r="T286" s="1"/>
      <c r="U286" s="1"/>
    </row>
    <row r="287" spans="1:22" ht="28.8" x14ac:dyDescent="0.3">
      <c r="A287">
        <v>2</v>
      </c>
      <c r="B287" t="s">
        <v>426</v>
      </c>
      <c r="C287" t="s">
        <v>267</v>
      </c>
      <c r="D287" s="1" t="s">
        <v>269</v>
      </c>
      <c r="E287" t="s">
        <v>488</v>
      </c>
      <c r="F287" t="s">
        <v>487</v>
      </c>
      <c r="G287" s="2"/>
      <c r="J287" s="1"/>
      <c r="L287" s="1" t="s">
        <v>340</v>
      </c>
      <c r="M287" t="str">
        <f>IF(Fields[[#This Row],[Reference Entity]]&lt;&gt;"","t" &amp;Fields[[#This Row],[Reference Entity]],"")</f>
        <v>tReferenceGroup</v>
      </c>
      <c r="N287" t="str">
        <f>IF(Fields[[#This Row],[Reference Entity]]&lt;&gt;"",RIGHT(Fields[[#This Row],[Column Name]],LEN(Fields[[#This Row],[Column Name]])-2),"")</f>
        <v>ReferenceGroup</v>
      </c>
      <c r="O287" t="s">
        <v>142</v>
      </c>
      <c r="P287" s="1"/>
      <c r="Q287" s="1" t="s">
        <v>267</v>
      </c>
      <c r="T287" s="1"/>
      <c r="U287" s="1"/>
    </row>
    <row r="288" spans="1:22" x14ac:dyDescent="0.3">
      <c r="A288">
        <v>3</v>
      </c>
      <c r="B288" t="s">
        <v>426</v>
      </c>
      <c r="C288" t="s">
        <v>428</v>
      </c>
      <c r="D288" s="1" t="s">
        <v>270</v>
      </c>
      <c r="E288" t="s">
        <v>19</v>
      </c>
      <c r="F288" t="s">
        <v>239</v>
      </c>
      <c r="G288" s="2">
        <v>12</v>
      </c>
      <c r="J288" s="1"/>
      <c r="L288" s="1" t="s">
        <v>382</v>
      </c>
      <c r="M288" t="str">
        <f>IF(Fields[[#This Row],[Reference Entity]]&lt;&gt;"","t" &amp;Fields[[#This Row],[Reference Entity]],"")</f>
        <v/>
      </c>
      <c r="N288" t="str">
        <f>IF(Fields[[#This Row],[Reference Entity]]&lt;&gt;"",RIGHT(Fields[[#This Row],[Column Name]],LEN(Fields[[#This Row],[Column Name]])-2),"")</f>
        <v/>
      </c>
      <c r="P288" s="1"/>
      <c r="Q288" s="1" t="s">
        <v>25</v>
      </c>
      <c r="R288" s="1" t="s">
        <v>20</v>
      </c>
      <c r="T288" s="1"/>
      <c r="U288" s="1"/>
    </row>
    <row r="289" spans="1:22" x14ac:dyDescent="0.3">
      <c r="A289">
        <v>4</v>
      </c>
      <c r="B289" t="s">
        <v>426</v>
      </c>
      <c r="C289" t="s">
        <v>429</v>
      </c>
      <c r="D289" s="1" t="s">
        <v>887</v>
      </c>
      <c r="E289" t="s">
        <v>19</v>
      </c>
      <c r="F289" t="s">
        <v>239</v>
      </c>
      <c r="G289" s="2">
        <v>50</v>
      </c>
      <c r="H289" t="s">
        <v>20</v>
      </c>
      <c r="J289" s="1"/>
      <c r="L289" s="1" t="s">
        <v>382</v>
      </c>
      <c r="M289" t="str">
        <f>IF(Fields[[#This Row],[Reference Entity]]&lt;&gt;"","t" &amp;Fields[[#This Row],[Reference Entity]],"")</f>
        <v/>
      </c>
      <c r="N289" t="str">
        <f>IF(Fields[[#This Row],[Reference Entity]]&lt;&gt;"",RIGHT(Fields[[#This Row],[Column Name]],LEN(Fields[[#This Row],[Column Name]])-2),"")</f>
        <v/>
      </c>
      <c r="P289" s="1"/>
      <c r="Q289" s="1"/>
      <c r="T289" s="1"/>
      <c r="U289" s="1"/>
    </row>
    <row r="290" spans="1:22" x14ac:dyDescent="0.3">
      <c r="A290">
        <v>5</v>
      </c>
      <c r="B290" t="s">
        <v>426</v>
      </c>
      <c r="C290" t="s">
        <v>427</v>
      </c>
      <c r="D290" s="1" t="s">
        <v>271</v>
      </c>
      <c r="E290" t="s">
        <v>45</v>
      </c>
      <c r="F290" t="s">
        <v>239</v>
      </c>
      <c r="G290" s="2" t="s">
        <v>238</v>
      </c>
      <c r="H290" t="s">
        <v>20</v>
      </c>
      <c r="J290" s="1"/>
      <c r="L290" s="1" t="s">
        <v>382</v>
      </c>
      <c r="M290" t="str">
        <f>IF(Fields[[#This Row],[Reference Entity]]&lt;&gt;"","t" &amp;Fields[[#This Row],[Reference Entity]],"")</f>
        <v/>
      </c>
      <c r="N290" t="str">
        <f>IF(Fields[[#This Row],[Reference Entity]]&lt;&gt;"",RIGHT(Fields[[#This Row],[Column Name]],LEN(Fields[[#This Row],[Column Name]])-2),"")</f>
        <v/>
      </c>
      <c r="P290" s="1"/>
      <c r="Q290" s="1"/>
      <c r="T290" s="1"/>
      <c r="U290" s="1"/>
    </row>
    <row r="291" spans="1:22" x14ac:dyDescent="0.3">
      <c r="A291">
        <v>6</v>
      </c>
      <c r="B291" t="s">
        <v>426</v>
      </c>
      <c r="C291" t="s">
        <v>883</v>
      </c>
      <c r="D291" s="1" t="s">
        <v>884</v>
      </c>
      <c r="E291" t="s">
        <v>18</v>
      </c>
      <c r="F291" t="s">
        <v>6</v>
      </c>
      <c r="G291" s="2"/>
      <c r="I291">
        <v>1</v>
      </c>
      <c r="J291" s="1"/>
      <c r="L291" s="1"/>
      <c r="M291" t="str">
        <f>IF(Fields[[#This Row],[Reference Entity]]&lt;&gt;"","t" &amp;Fields[[#This Row],[Reference Entity]],"")</f>
        <v/>
      </c>
      <c r="P291" s="1"/>
      <c r="Q291" s="1"/>
      <c r="T291" s="1"/>
      <c r="U291" s="1"/>
    </row>
    <row r="292" spans="1:22" x14ac:dyDescent="0.3">
      <c r="A292">
        <v>7</v>
      </c>
      <c r="B292" t="s">
        <v>426</v>
      </c>
      <c r="C292" t="s">
        <v>886</v>
      </c>
      <c r="D292" s="1" t="s">
        <v>888</v>
      </c>
      <c r="E292" t="s">
        <v>19</v>
      </c>
      <c r="F292" t="s">
        <v>239</v>
      </c>
      <c r="G292" s="2">
        <v>50</v>
      </c>
      <c r="H292" t="s">
        <v>20</v>
      </c>
      <c r="J292" s="1"/>
      <c r="L292" s="1"/>
      <c r="M292" t="str">
        <f>IF(Fields[[#This Row],[Reference Entity]]&lt;&gt;"","t" &amp;Fields[[#This Row],[Reference Entity]],"")</f>
        <v/>
      </c>
      <c r="P292" s="1"/>
      <c r="Q292" s="1"/>
      <c r="T292" s="1"/>
      <c r="U292" s="1"/>
    </row>
    <row r="293" spans="1:22" x14ac:dyDescent="0.3">
      <c r="A293">
        <v>1</v>
      </c>
      <c r="B293" t="s">
        <v>246</v>
      </c>
      <c r="C293" t="s">
        <v>5</v>
      </c>
      <c r="D293" s="1" t="s">
        <v>251</v>
      </c>
      <c r="E293" t="s">
        <v>488</v>
      </c>
      <c r="F293" t="s">
        <v>487</v>
      </c>
      <c r="G293" s="2"/>
      <c r="J293" s="1"/>
      <c r="L293" s="1" t="s">
        <v>147</v>
      </c>
      <c r="M293" t="str">
        <f>IF(Fields[[#This Row],[Reference Entity]]&lt;&gt;"","t" &amp;Fields[[#This Row],[Reference Entity]],"")</f>
        <v>tClient</v>
      </c>
      <c r="N293" t="str">
        <f>IF(Fields[[#This Row],[Reference Entity]]&lt;&gt;"",RIGHT(Fields[[#This Row],[Column Name]],LEN(Fields[[#This Row],[Column Name]])-2),"")</f>
        <v>Client</v>
      </c>
      <c r="O293" t="s">
        <v>142</v>
      </c>
      <c r="P293" s="1"/>
      <c r="Q293" t="s">
        <v>25</v>
      </c>
      <c r="R293" s="1" t="s">
        <v>20</v>
      </c>
      <c r="S293"/>
    </row>
    <row r="294" spans="1:22" x14ac:dyDescent="0.3">
      <c r="A294">
        <v>2</v>
      </c>
      <c r="B294" t="s">
        <v>246</v>
      </c>
      <c r="C294" t="s">
        <v>322</v>
      </c>
      <c r="D294" s="1" t="s">
        <v>261</v>
      </c>
      <c r="E294" t="s">
        <v>19</v>
      </c>
      <c r="F294" t="s">
        <v>239</v>
      </c>
      <c r="G294" s="2">
        <v>1</v>
      </c>
      <c r="J294" s="1"/>
      <c r="K294" s="1" t="s">
        <v>573</v>
      </c>
      <c r="L294" s="1" t="s">
        <v>382</v>
      </c>
      <c r="M294" t="str">
        <f>IF(Fields[[#This Row],[Reference Entity]]&lt;&gt;"","t" &amp;Fields[[#This Row],[Reference Entity]],"")</f>
        <v/>
      </c>
      <c r="N294" t="str">
        <f>IF(Fields[[#This Row],[Reference Entity]]&lt;&gt;"",RIGHT(Fields[[#This Row],[Column Name]],LEN(Fields[[#This Row],[Column Name]])-2),"")</f>
        <v/>
      </c>
      <c r="P294" s="1"/>
      <c r="Q294" t="s">
        <v>25</v>
      </c>
      <c r="R294" s="1" t="s">
        <v>20</v>
      </c>
      <c r="S294"/>
    </row>
    <row r="295" spans="1:22" x14ac:dyDescent="0.3">
      <c r="A295">
        <v>3</v>
      </c>
      <c r="B295" t="s">
        <v>246</v>
      </c>
      <c r="C295" t="s">
        <v>313</v>
      </c>
      <c r="D295" s="1" t="s">
        <v>262</v>
      </c>
      <c r="E295" t="s">
        <v>19</v>
      </c>
      <c r="F295" t="s">
        <v>239</v>
      </c>
      <c r="G295" s="2">
        <v>50</v>
      </c>
      <c r="J295" s="1"/>
      <c r="L295" s="1" t="s">
        <v>382</v>
      </c>
      <c r="M295" t="str">
        <f>IF(Fields[[#This Row],[Reference Entity]]&lt;&gt;"","t" &amp;Fields[[#This Row],[Reference Entity]],"")</f>
        <v/>
      </c>
      <c r="N295" t="str">
        <f>IF(Fields[[#This Row],[Reference Entity]]&lt;&gt;"",RIGHT(Fields[[#This Row],[Column Name]],LEN(Fields[[#This Row],[Column Name]])-2),"")</f>
        <v/>
      </c>
      <c r="P295" s="1"/>
      <c r="Q295" s="1"/>
      <c r="T295" s="1"/>
      <c r="U295" s="1"/>
    </row>
    <row r="296" spans="1:22" x14ac:dyDescent="0.3">
      <c r="A296">
        <v>4</v>
      </c>
      <c r="B296" t="s">
        <v>246</v>
      </c>
      <c r="C296" t="s">
        <v>247</v>
      </c>
      <c r="D296" s="1" t="s">
        <v>263</v>
      </c>
      <c r="E296" t="s">
        <v>19</v>
      </c>
      <c r="F296" t="s">
        <v>239</v>
      </c>
      <c r="G296" s="2">
        <v>2</v>
      </c>
      <c r="H296" t="s">
        <v>20</v>
      </c>
      <c r="J296" s="1"/>
      <c r="L296" s="1" t="s">
        <v>382</v>
      </c>
      <c r="M296" t="str">
        <f>IF(Fields[[#This Row],[Reference Entity]]&lt;&gt;"","t" &amp;Fields[[#This Row],[Reference Entity]],"")</f>
        <v/>
      </c>
      <c r="N296" t="str">
        <f>IF(Fields[[#This Row],[Reference Entity]]&lt;&gt;"",RIGHT(Fields[[#This Row],[Column Name]],LEN(Fields[[#This Row],[Column Name]])-2),"")</f>
        <v/>
      </c>
      <c r="P296" s="1"/>
      <c r="Q296" t="s">
        <v>25</v>
      </c>
      <c r="R296" s="1" t="s">
        <v>20</v>
      </c>
      <c r="S296"/>
    </row>
    <row r="297" spans="1:22" x14ac:dyDescent="0.3">
      <c r="A297">
        <v>5</v>
      </c>
      <c r="B297" t="s">
        <v>246</v>
      </c>
      <c r="C297" t="s">
        <v>248</v>
      </c>
      <c r="D297" s="1" t="s">
        <v>264</v>
      </c>
      <c r="E297" t="s">
        <v>16</v>
      </c>
      <c r="F297" t="s">
        <v>4</v>
      </c>
      <c r="G297" s="2"/>
      <c r="I297">
        <v>0</v>
      </c>
      <c r="J297" s="1"/>
      <c r="L297" s="1" t="s">
        <v>382</v>
      </c>
      <c r="M297" t="str">
        <f>IF(Fields[[#This Row],[Reference Entity]]&lt;&gt;"","t" &amp;Fields[[#This Row],[Reference Entity]],"")</f>
        <v/>
      </c>
      <c r="N297" t="str">
        <f>IF(Fields[[#This Row],[Reference Entity]]&lt;&gt;"",RIGHT(Fields[[#This Row],[Column Name]],LEN(Fields[[#This Row],[Column Name]])-2),"")</f>
        <v/>
      </c>
      <c r="P297" s="1"/>
      <c r="Q297" s="1"/>
      <c r="T297" s="1"/>
      <c r="U297" s="1"/>
    </row>
    <row r="298" spans="1:22" x14ac:dyDescent="0.3">
      <c r="A298">
        <v>6</v>
      </c>
      <c r="B298" t="s">
        <v>246</v>
      </c>
      <c r="C298" t="s">
        <v>249</v>
      </c>
      <c r="D298" s="1" t="s">
        <v>265</v>
      </c>
      <c r="E298" t="s">
        <v>18</v>
      </c>
      <c r="F298" t="s">
        <v>6</v>
      </c>
      <c r="G298" s="2"/>
      <c r="I298">
        <v>1</v>
      </c>
      <c r="J298" s="1"/>
      <c r="L298" s="1" t="s">
        <v>382</v>
      </c>
      <c r="M298" t="str">
        <f>IF(Fields[[#This Row],[Reference Entity]]&lt;&gt;"","t" &amp;Fields[[#This Row],[Reference Entity]],"")</f>
        <v/>
      </c>
      <c r="N298" t="str">
        <f>IF(Fields[[#This Row],[Reference Entity]]&lt;&gt;"",RIGHT(Fields[[#This Row],[Column Name]],LEN(Fields[[#This Row],[Column Name]])-2),"")</f>
        <v/>
      </c>
      <c r="P298" s="1"/>
      <c r="Q298" s="1"/>
      <c r="T298" s="1"/>
      <c r="U298" s="1"/>
    </row>
    <row r="299" spans="1:22" x14ac:dyDescent="0.3">
      <c r="A299">
        <v>7</v>
      </c>
      <c r="B299" t="s">
        <v>246</v>
      </c>
      <c r="C299" t="s">
        <v>250</v>
      </c>
      <c r="D299" s="1" t="s">
        <v>266</v>
      </c>
      <c r="E299" t="s">
        <v>124</v>
      </c>
      <c r="F299" t="s">
        <v>233</v>
      </c>
      <c r="G299" s="2"/>
      <c r="I299">
        <v>4</v>
      </c>
      <c r="J299" s="1"/>
      <c r="L299" s="1" t="s">
        <v>382</v>
      </c>
      <c r="M299" t="str">
        <f>IF(Fields[[#This Row],[Reference Entity]]&lt;&gt;"","t" &amp;Fields[[#This Row],[Reference Entity]],"")</f>
        <v/>
      </c>
      <c r="N299" t="str">
        <f>IF(Fields[[#This Row],[Reference Entity]]&lt;&gt;"",RIGHT(Fields[[#This Row],[Column Name]],LEN(Fields[[#This Row],[Column Name]])-2),"")</f>
        <v/>
      </c>
      <c r="P299" s="1"/>
      <c r="Q299" s="1"/>
      <c r="T299" s="1"/>
      <c r="U299" s="1"/>
    </row>
    <row r="300" spans="1:22" x14ac:dyDescent="0.3">
      <c r="A300">
        <v>1</v>
      </c>
      <c r="B300" t="s">
        <v>542</v>
      </c>
      <c r="C300" t="s">
        <v>543</v>
      </c>
      <c r="D300" s="1" t="s">
        <v>544</v>
      </c>
      <c r="E300" t="s">
        <v>488</v>
      </c>
      <c r="F300" t="s">
        <v>487</v>
      </c>
      <c r="G300" s="2"/>
      <c r="L300" s="1" t="s">
        <v>527</v>
      </c>
      <c r="M300" t="str">
        <f>IF(Fields[[#This Row],[Reference Entity]]&lt;&gt;"","t" &amp;Fields[[#This Row],[Reference Entity]],"")</f>
        <v>tUser</v>
      </c>
      <c r="N300" t="s">
        <v>545</v>
      </c>
      <c r="O300" t="s">
        <v>142</v>
      </c>
      <c r="P300" s="1"/>
      <c r="T300" s="1"/>
      <c r="U300" s="1"/>
    </row>
    <row r="301" spans="1:22" x14ac:dyDescent="0.3">
      <c r="A301">
        <v>2</v>
      </c>
      <c r="B301" t="s">
        <v>542</v>
      </c>
      <c r="C301" t="s">
        <v>5</v>
      </c>
      <c r="D301" s="1" t="s">
        <v>174</v>
      </c>
      <c r="E301" t="s">
        <v>488</v>
      </c>
      <c r="F301" t="s">
        <v>487</v>
      </c>
      <c r="G301" s="2"/>
      <c r="L301" s="1" t="s">
        <v>147</v>
      </c>
      <c r="M301" t="str">
        <f>IF(Fields[[#This Row],[Reference Entity]]&lt;&gt;"","t" &amp;Fields[[#This Row],[Reference Entity]],"")</f>
        <v>tClient</v>
      </c>
      <c r="N301" t="s">
        <v>546</v>
      </c>
      <c r="P301" s="1"/>
      <c r="T301" s="1"/>
      <c r="U301" s="1"/>
    </row>
    <row r="302" spans="1:22" x14ac:dyDescent="0.3">
      <c r="A302">
        <v>1</v>
      </c>
      <c r="B302" t="s">
        <v>470</v>
      </c>
      <c r="C302" t="s">
        <v>475</v>
      </c>
      <c r="D302" s="1" t="s">
        <v>472</v>
      </c>
      <c r="E302" t="s">
        <v>488</v>
      </c>
      <c r="F302" t="s">
        <v>487</v>
      </c>
      <c r="G302" s="2"/>
      <c r="J302" s="1"/>
      <c r="L302" t="s">
        <v>468</v>
      </c>
      <c r="M302" t="str">
        <f>IF(Fields[[#This Row],[Reference Entity]]&lt;&gt;"","t" &amp;Fields[[#This Row],[Reference Entity]],"")</f>
        <v>tTypeGroupDef</v>
      </c>
      <c r="N302" t="str">
        <f>IF(Fields[[#This Row],[Reference Entity]]&lt;&gt;"",RIGHT(Fields[[#This Row],[Column Name]],LEN(Fields[[#This Row],[Column Name]])-2),"")</f>
        <v>TypeGroupDef</v>
      </c>
      <c r="O302" t="s">
        <v>142</v>
      </c>
      <c r="P302" s="1"/>
      <c r="S302"/>
      <c r="V302" t="s">
        <v>469</v>
      </c>
    </row>
    <row r="303" spans="1:22" x14ac:dyDescent="0.3">
      <c r="A303">
        <v>2</v>
      </c>
      <c r="B303" t="s">
        <v>470</v>
      </c>
      <c r="C303" t="s">
        <v>476</v>
      </c>
      <c r="D303" s="1" t="s">
        <v>478</v>
      </c>
      <c r="E303" t="s">
        <v>19</v>
      </c>
      <c r="F303" t="s">
        <v>239</v>
      </c>
      <c r="G303" s="2">
        <v>25</v>
      </c>
      <c r="J303" s="1"/>
      <c r="L303" s="1"/>
      <c r="M303" t="str">
        <f>IF(Fields[[#This Row],[Reference Entity]]&lt;&gt;"","t" &amp;Fields[[#This Row],[Reference Entity]],"")</f>
        <v/>
      </c>
      <c r="P303" s="1"/>
      <c r="Q303" t="s">
        <v>467</v>
      </c>
      <c r="R303" s="1" t="s">
        <v>20</v>
      </c>
      <c r="S303"/>
      <c r="V303" t="s">
        <v>469</v>
      </c>
    </row>
    <row r="304" spans="1:22" x14ac:dyDescent="0.3">
      <c r="A304">
        <v>3</v>
      </c>
      <c r="B304" t="s">
        <v>470</v>
      </c>
      <c r="C304" t="s">
        <v>473</v>
      </c>
      <c r="D304" s="1" t="s">
        <v>479</v>
      </c>
      <c r="E304" t="s">
        <v>30</v>
      </c>
      <c r="F304" t="s">
        <v>233</v>
      </c>
      <c r="G304" s="2"/>
      <c r="J304" s="1"/>
      <c r="L304" s="1"/>
      <c r="M304" t="str">
        <f>IF(Fields[[#This Row],[Reference Entity]]&lt;&gt;"","t" &amp;Fields[[#This Row],[Reference Entity]],"")</f>
        <v/>
      </c>
      <c r="P304" s="1"/>
      <c r="Q304" t="s">
        <v>467</v>
      </c>
      <c r="R304" s="1" t="s">
        <v>20</v>
      </c>
      <c r="S304"/>
      <c r="V304" t="s">
        <v>469</v>
      </c>
    </row>
    <row r="305" spans="1:22" x14ac:dyDescent="0.3">
      <c r="A305">
        <v>1</v>
      </c>
      <c r="B305" s="8" t="s">
        <v>471</v>
      </c>
      <c r="C305" t="s">
        <v>474</v>
      </c>
      <c r="D305" s="1" t="s">
        <v>477</v>
      </c>
      <c r="E305" t="s">
        <v>19</v>
      </c>
      <c r="F305" t="s">
        <v>239</v>
      </c>
      <c r="G305" s="2">
        <v>25</v>
      </c>
      <c r="J305" s="1"/>
      <c r="L305" s="1" t="s">
        <v>382</v>
      </c>
      <c r="M305" t="str">
        <f>IF(Fields[[#This Row],[Reference Entity]]&lt;&gt;"","t" &amp;Fields[[#This Row],[Reference Entity]],"")</f>
        <v/>
      </c>
      <c r="N305" t="str">
        <f>IF(Fields[[#This Row],[Reference Entity]]&lt;&gt;"",RIGHT(Fields[[#This Row],[Column Name]],LEN(Fields[[#This Row],[Column Name]])-2),"")</f>
        <v/>
      </c>
      <c r="P305" s="1"/>
      <c r="Q305" t="str">
        <f>Fields[[#This Row],[Column Name]]</f>
        <v>TypeGroupID</v>
      </c>
      <c r="R305" s="1" t="s">
        <v>20</v>
      </c>
      <c r="S305"/>
      <c r="V305" t="s">
        <v>469</v>
      </c>
    </row>
    <row r="306" spans="1:22" x14ac:dyDescent="0.3">
      <c r="A306">
        <v>1</v>
      </c>
      <c r="B306" s="8" t="s">
        <v>529</v>
      </c>
      <c r="C306" t="s">
        <v>530</v>
      </c>
      <c r="D306" s="1" t="s">
        <v>533</v>
      </c>
      <c r="E306" t="s">
        <v>19</v>
      </c>
      <c r="F306" t="s">
        <v>239</v>
      </c>
      <c r="G306" s="2">
        <v>255</v>
      </c>
      <c r="L306" s="1"/>
      <c r="M306" t="str">
        <f>IF(Fields[[#This Row],[Reference Entity]]&lt;&gt;"","t" &amp;Fields[[#This Row],[Reference Entity]],"")</f>
        <v/>
      </c>
      <c r="P306" s="1"/>
      <c r="T306" s="1"/>
      <c r="U306" s="1"/>
    </row>
    <row r="307" spans="1:22" x14ac:dyDescent="0.3">
      <c r="A307">
        <v>2</v>
      </c>
      <c r="B307" s="8" t="s">
        <v>529</v>
      </c>
      <c r="C307" t="s">
        <v>531</v>
      </c>
      <c r="D307" s="1" t="s">
        <v>534</v>
      </c>
      <c r="E307" t="s">
        <v>19</v>
      </c>
      <c r="F307" t="s">
        <v>239</v>
      </c>
      <c r="G307" s="2">
        <v>30</v>
      </c>
      <c r="L307" s="1"/>
      <c r="M307" t="str">
        <f>IF(Fields[[#This Row],[Reference Entity]]&lt;&gt;"","t" &amp;Fields[[#This Row],[Reference Entity]],"")</f>
        <v/>
      </c>
      <c r="P307" s="1"/>
      <c r="T307" s="1"/>
      <c r="U307" s="1"/>
    </row>
    <row r="308" spans="1:22" x14ac:dyDescent="0.3">
      <c r="A308">
        <v>3</v>
      </c>
      <c r="B308" s="8" t="s">
        <v>529</v>
      </c>
      <c r="C308" t="s">
        <v>532</v>
      </c>
      <c r="D308" s="1" t="s">
        <v>535</v>
      </c>
      <c r="E308" t="s">
        <v>19</v>
      </c>
      <c r="F308" t="s">
        <v>239</v>
      </c>
      <c r="G308" s="2">
        <v>48</v>
      </c>
      <c r="L308" s="1"/>
      <c r="M308" t="str">
        <f>IF(Fields[[#This Row],[Reference Entity]]&lt;&gt;"","t" &amp;Fields[[#This Row],[Reference Entity]],"")</f>
        <v/>
      </c>
      <c r="P308" s="1"/>
      <c r="T308" s="1"/>
      <c r="U308" s="1"/>
    </row>
    <row r="309" spans="1:22" x14ac:dyDescent="0.3">
      <c r="A309">
        <v>4</v>
      </c>
      <c r="B309" s="8" t="s">
        <v>529</v>
      </c>
      <c r="C309" t="s">
        <v>537</v>
      </c>
      <c r="D309" s="1" t="s">
        <v>536</v>
      </c>
      <c r="E309" t="s">
        <v>488</v>
      </c>
      <c r="F309" t="s">
        <v>487</v>
      </c>
      <c r="G309" s="2"/>
      <c r="L309" s="1" t="s">
        <v>147</v>
      </c>
      <c r="M309" t="str">
        <f>IF(Fields[[#This Row],[Reference Entity]]&lt;&gt;"","t" &amp;Fields[[#This Row],[Reference Entity]],"")</f>
        <v>tClient</v>
      </c>
      <c r="N309" t="s">
        <v>538</v>
      </c>
      <c r="P309" s="1"/>
      <c r="T309" s="1"/>
      <c r="U309" s="1"/>
    </row>
    <row r="310" spans="1:22" x14ac:dyDescent="0.3">
      <c r="A310">
        <v>5</v>
      </c>
      <c r="B310" s="8" t="s">
        <v>529</v>
      </c>
      <c r="C310" t="s">
        <v>547</v>
      </c>
      <c r="D310" s="1"/>
      <c r="E310" t="s">
        <v>124</v>
      </c>
      <c r="F310" t="s">
        <v>233</v>
      </c>
      <c r="G310" s="2"/>
      <c r="I310">
        <v>0</v>
      </c>
      <c r="K310" s="1" t="s">
        <v>547</v>
      </c>
      <c r="L310" s="1"/>
      <c r="M310" t="str">
        <f>IF(Fields[[#This Row],[Reference Entity]]&lt;&gt;"","t" &amp;Fields[[#This Row],[Reference Entity]],"")</f>
        <v/>
      </c>
      <c r="P310" s="1"/>
      <c r="T310" s="1"/>
      <c r="U310" s="1"/>
    </row>
    <row r="311" spans="1:22" x14ac:dyDescent="0.3">
      <c r="A311">
        <v>6</v>
      </c>
      <c r="B311" t="s">
        <v>529</v>
      </c>
      <c r="C311" t="s">
        <v>758</v>
      </c>
      <c r="D311" s="1"/>
      <c r="E311" t="s">
        <v>19</v>
      </c>
      <c r="F311" t="s">
        <v>239</v>
      </c>
      <c r="G311" s="2">
        <v>255</v>
      </c>
      <c r="H311" t="s">
        <v>20</v>
      </c>
      <c r="L311" s="1"/>
      <c r="M311" t="str">
        <f>IF(Fields[[#This Row],[Reference Entity]]&lt;&gt;"","t" &amp;Fields[[#This Row],[Reference Entity]],"")</f>
        <v/>
      </c>
      <c r="P311" s="1"/>
      <c r="T311" s="1"/>
      <c r="U311" s="1"/>
    </row>
    <row r="312" spans="1:22" x14ac:dyDescent="0.3">
      <c r="A312">
        <v>7</v>
      </c>
      <c r="B312" t="s">
        <v>529</v>
      </c>
      <c r="C312" t="s">
        <v>759</v>
      </c>
      <c r="D312" s="1"/>
      <c r="E312" t="s">
        <v>19</v>
      </c>
      <c r="F312" t="s">
        <v>239</v>
      </c>
      <c r="G312" s="2">
        <v>255</v>
      </c>
      <c r="H312" t="s">
        <v>20</v>
      </c>
      <c r="L312" s="1"/>
      <c r="M312" t="str">
        <f>IF(Fields[[#This Row],[Reference Entity]]&lt;&gt;"","t" &amp;Fields[[#This Row],[Reference Entity]],"")</f>
        <v/>
      </c>
      <c r="P312" s="1"/>
      <c r="T312" s="1"/>
      <c r="U312" s="1"/>
    </row>
    <row r="313" spans="1:22" x14ac:dyDescent="0.3">
      <c r="A313">
        <v>1</v>
      </c>
      <c r="B313" t="s">
        <v>64</v>
      </c>
      <c r="C313" t="s">
        <v>5</v>
      </c>
      <c r="D313" s="1" t="s">
        <v>251</v>
      </c>
      <c r="E313" t="s">
        <v>488</v>
      </c>
      <c r="F313" t="s">
        <v>487</v>
      </c>
      <c r="G313" s="2"/>
      <c r="J313" s="1"/>
      <c r="L313" s="1" t="s">
        <v>147</v>
      </c>
      <c r="M313" t="str">
        <f>IF(Fields[[#This Row],[Reference Entity]]&lt;&gt;"","t" &amp;Fields[[#This Row],[Reference Entity]],"")</f>
        <v>tClient</v>
      </c>
      <c r="N313" t="str">
        <f>IF(Fields[[#This Row],[Reference Entity]]&lt;&gt;"",RIGHT(Fields[[#This Row],[Column Name]],LEN(Fields[[#This Row],[Column Name]])-2),"")</f>
        <v>Client</v>
      </c>
      <c r="O313" t="s">
        <v>142</v>
      </c>
      <c r="P313" s="1"/>
      <c r="Q313" t="s">
        <v>25</v>
      </c>
      <c r="R313" s="1" t="s">
        <v>20</v>
      </c>
      <c r="S313"/>
    </row>
    <row r="314" spans="1:22" x14ac:dyDescent="0.3">
      <c r="A314">
        <v>2</v>
      </c>
      <c r="B314" t="s">
        <v>64</v>
      </c>
      <c r="C314" t="s">
        <v>240</v>
      </c>
      <c r="D314" s="1" t="s">
        <v>252</v>
      </c>
      <c r="E314" t="s">
        <v>488</v>
      </c>
      <c r="F314" t="s">
        <v>487</v>
      </c>
      <c r="G314" s="2"/>
      <c r="J314" s="1"/>
      <c r="L314" s="1" t="s">
        <v>335</v>
      </c>
      <c r="M314" t="str">
        <f>IF(Fields[[#This Row],[Reference Entity]]&lt;&gt;"","t" &amp;Fields[[#This Row],[Reference Entity]],"")</f>
        <v>tAccount</v>
      </c>
      <c r="N314" t="str">
        <f>IF(Fields[[#This Row],[Reference Entity]]&lt;&gt;"",RIGHT(Fields[[#This Row],[Column Name]],LEN(Fields[[#This Row],[Column Name]])-2),"")</f>
        <v>AccountVATInput</v>
      </c>
      <c r="P314" s="1"/>
      <c r="Q314" t="str">
        <f>Fields[[#This Row],[Column Name]]</f>
        <v>idAccountVATInput</v>
      </c>
      <c r="S314"/>
      <c r="U314" t="s">
        <v>375</v>
      </c>
    </row>
    <row r="315" spans="1:22" x14ac:dyDescent="0.3">
      <c r="A315">
        <v>3</v>
      </c>
      <c r="B315" t="s">
        <v>64</v>
      </c>
      <c r="C315" t="s">
        <v>241</v>
      </c>
      <c r="D315" s="1" t="s">
        <v>253</v>
      </c>
      <c r="E315" t="s">
        <v>488</v>
      </c>
      <c r="F315" t="s">
        <v>487</v>
      </c>
      <c r="G315" s="2"/>
      <c r="J315" s="1"/>
      <c r="L315" s="1" t="s">
        <v>335</v>
      </c>
      <c r="M315" t="str">
        <f>IF(Fields[[#This Row],[Reference Entity]]&lt;&gt;"","t" &amp;Fields[[#This Row],[Reference Entity]],"")</f>
        <v>tAccount</v>
      </c>
      <c r="N315" t="str">
        <f>IF(Fields[[#This Row],[Reference Entity]]&lt;&gt;"",RIGHT(Fields[[#This Row],[Column Name]],LEN(Fields[[#This Row],[Column Name]])-2),"")</f>
        <v>AccountVATOutput</v>
      </c>
      <c r="P315" s="1"/>
      <c r="Q315" t="str">
        <f>Fields[[#This Row],[Column Name]]</f>
        <v>idAccountVATOutput</v>
      </c>
      <c r="S315"/>
      <c r="U315" t="s">
        <v>376</v>
      </c>
    </row>
    <row r="316" spans="1:22" x14ac:dyDescent="0.3">
      <c r="A316">
        <v>4</v>
      </c>
      <c r="B316" t="s">
        <v>64</v>
      </c>
      <c r="C316" t="s">
        <v>489</v>
      </c>
      <c r="D316" s="1" t="s">
        <v>582</v>
      </c>
      <c r="E316" t="s">
        <v>488</v>
      </c>
      <c r="F316" t="s">
        <v>487</v>
      </c>
      <c r="G316" s="2"/>
      <c r="H316" t="s">
        <v>20</v>
      </c>
      <c r="J316" s="1"/>
      <c r="L316" s="1" t="s">
        <v>335</v>
      </c>
      <c r="M316" t="str">
        <f>IF(Fields[[#This Row],[Reference Entity]]&lt;&gt;"","t" &amp;Fields[[#This Row],[Reference Entity]],"")</f>
        <v>tAccount</v>
      </c>
      <c r="N316" t="s">
        <v>490</v>
      </c>
      <c r="P316" s="1"/>
      <c r="Q316" t="s">
        <v>491</v>
      </c>
      <c r="S316"/>
      <c r="U316" t="s">
        <v>492</v>
      </c>
      <c r="V316" t="s">
        <v>469</v>
      </c>
    </row>
    <row r="317" spans="1:22" x14ac:dyDescent="0.3">
      <c r="A317">
        <v>5</v>
      </c>
      <c r="B317" t="s">
        <v>64</v>
      </c>
      <c r="C317" t="s">
        <v>287</v>
      </c>
      <c r="D317" s="1" t="s">
        <v>259</v>
      </c>
      <c r="E317" t="s">
        <v>19</v>
      </c>
      <c r="F317" t="s">
        <v>239</v>
      </c>
      <c r="G317" s="2">
        <v>5</v>
      </c>
      <c r="H317" t="s">
        <v>20</v>
      </c>
      <c r="J317" s="1"/>
      <c r="L317" s="1" t="s">
        <v>382</v>
      </c>
      <c r="M317" t="str">
        <f>IF(Fields[[#This Row],[Reference Entity]]&lt;&gt;"","t" &amp;Fields[[#This Row],[Reference Entity]],"")</f>
        <v/>
      </c>
      <c r="N317" t="str">
        <f>IF(Fields[[#This Row],[Reference Entity]]&lt;&gt;"",RIGHT(Fields[[#This Row],[Column Name]],LEN(Fields[[#This Row],[Column Name]])-2),"")</f>
        <v/>
      </c>
      <c r="P317" s="1"/>
      <c r="Q317" t="s">
        <v>25</v>
      </c>
      <c r="R317" s="1" t="s">
        <v>20</v>
      </c>
      <c r="S317"/>
    </row>
    <row r="318" spans="1:22" x14ac:dyDescent="0.3">
      <c r="A318">
        <v>6</v>
      </c>
      <c r="B318" t="s">
        <v>64</v>
      </c>
      <c r="C318" t="s">
        <v>312</v>
      </c>
      <c r="D318" s="1" t="s">
        <v>260</v>
      </c>
      <c r="E318" t="s">
        <v>19</v>
      </c>
      <c r="F318" t="s">
        <v>239</v>
      </c>
      <c r="G318" s="2">
        <v>50</v>
      </c>
      <c r="J318" s="1"/>
      <c r="L318" s="1" t="s">
        <v>382</v>
      </c>
      <c r="M318" t="str">
        <f>IF(Fields[[#This Row],[Reference Entity]]&lt;&gt;"","t" &amp;Fields[[#This Row],[Reference Entity]],"")</f>
        <v/>
      </c>
      <c r="N318" t="str">
        <f>IF(Fields[[#This Row],[Reference Entity]]&lt;&gt;"",RIGHT(Fields[[#This Row],[Column Name]],LEN(Fields[[#This Row],[Column Name]])-2),"")</f>
        <v/>
      </c>
      <c r="P318" s="1"/>
      <c r="Q318" s="1"/>
      <c r="T318" s="1"/>
      <c r="U318" s="1"/>
    </row>
    <row r="319" spans="1:22" x14ac:dyDescent="0.3">
      <c r="A319">
        <v>7</v>
      </c>
      <c r="B319" t="s">
        <v>64</v>
      </c>
      <c r="C319" t="s">
        <v>242</v>
      </c>
      <c r="D319" s="1" t="s">
        <v>255</v>
      </c>
      <c r="E319" t="s">
        <v>60</v>
      </c>
      <c r="F319" t="s">
        <v>234</v>
      </c>
      <c r="G319" s="2"/>
      <c r="J319" s="1"/>
      <c r="L319" s="1" t="s">
        <v>382</v>
      </c>
      <c r="M319" t="str">
        <f>IF(Fields[[#This Row],[Reference Entity]]&lt;&gt;"","t" &amp;Fields[[#This Row],[Reference Entity]],"")</f>
        <v/>
      </c>
      <c r="N319" t="str">
        <f>IF(Fields[[#This Row],[Reference Entity]]&lt;&gt;"",RIGHT(Fields[[#This Row],[Column Name]],LEN(Fields[[#This Row],[Column Name]])-2),"")</f>
        <v/>
      </c>
      <c r="P319" s="1"/>
      <c r="Q319" s="1"/>
      <c r="T319" s="1"/>
      <c r="U319" s="1"/>
    </row>
    <row r="320" spans="1:22" x14ac:dyDescent="0.3">
      <c r="A320">
        <v>8</v>
      </c>
      <c r="B320" t="s">
        <v>64</v>
      </c>
      <c r="C320" t="s">
        <v>493</v>
      </c>
      <c r="D320" s="1"/>
      <c r="E320" t="s">
        <v>30</v>
      </c>
      <c r="F320" t="s">
        <v>4</v>
      </c>
      <c r="G320" s="2"/>
      <c r="J320" s="1"/>
      <c r="L320" s="1"/>
      <c r="M320" t="str">
        <f>IF(Fields[[#This Row],[Reference Entity]]&lt;&gt;"","t" &amp;Fields[[#This Row],[Reference Entity]],"")</f>
        <v/>
      </c>
      <c r="P320" s="1"/>
      <c r="Q320" s="1"/>
      <c r="T320" s="1"/>
      <c r="U320" s="1"/>
    </row>
    <row r="321" spans="1:21" x14ac:dyDescent="0.3">
      <c r="A321">
        <v>9</v>
      </c>
      <c r="B321" t="s">
        <v>64</v>
      </c>
      <c r="C321" t="s">
        <v>243</v>
      </c>
      <c r="D321" s="1" t="s">
        <v>256</v>
      </c>
      <c r="E321" t="s">
        <v>17</v>
      </c>
      <c r="F321" t="s">
        <v>388</v>
      </c>
      <c r="G321" s="2"/>
      <c r="H321" t="s">
        <v>20</v>
      </c>
      <c r="J321" s="1"/>
      <c r="L321" s="1" t="s">
        <v>382</v>
      </c>
      <c r="M321" t="str">
        <f>IF(Fields[[#This Row],[Reference Entity]]&lt;&gt;"","t" &amp;Fields[[#This Row],[Reference Entity]],"")</f>
        <v/>
      </c>
      <c r="N321" t="str">
        <f>IF(Fields[[#This Row],[Reference Entity]]&lt;&gt;"",RIGHT(Fields[[#This Row],[Column Name]],LEN(Fields[[#This Row],[Column Name]])-2),"")</f>
        <v/>
      </c>
      <c r="P321" s="1"/>
      <c r="Q321" s="1"/>
      <c r="T321" s="1"/>
      <c r="U321" s="1"/>
    </row>
    <row r="322" spans="1:21" x14ac:dyDescent="0.3">
      <c r="A322">
        <v>10</v>
      </c>
      <c r="B322" t="s">
        <v>64</v>
      </c>
      <c r="C322" t="s">
        <v>244</v>
      </c>
      <c r="D322" s="1" t="s">
        <v>257</v>
      </c>
      <c r="E322" t="s">
        <v>60</v>
      </c>
      <c r="F322" t="s">
        <v>234</v>
      </c>
      <c r="G322" s="2"/>
      <c r="H322" t="s">
        <v>20</v>
      </c>
      <c r="J322" s="1"/>
      <c r="L322" s="1" t="s">
        <v>382</v>
      </c>
      <c r="M322" t="str">
        <f>IF(Fields[[#This Row],[Reference Entity]]&lt;&gt;"","t" &amp;Fields[[#This Row],[Reference Entity]],"")</f>
        <v/>
      </c>
      <c r="N322" t="str">
        <f>IF(Fields[[#This Row],[Reference Entity]]&lt;&gt;"",RIGHT(Fields[[#This Row],[Column Name]],LEN(Fields[[#This Row],[Column Name]])-2),"")</f>
        <v/>
      </c>
      <c r="P322" s="1"/>
      <c r="Q322" s="1"/>
      <c r="T322" s="1"/>
      <c r="U322" s="1"/>
    </row>
    <row r="323" spans="1:21" ht="28.8" x14ac:dyDescent="0.3">
      <c r="A323">
        <v>11</v>
      </c>
      <c r="B323" t="s">
        <v>64</v>
      </c>
      <c r="C323" t="s">
        <v>254</v>
      </c>
      <c r="D323" s="1" t="s">
        <v>258</v>
      </c>
      <c r="E323" t="s">
        <v>18</v>
      </c>
      <c r="F323" t="s">
        <v>6</v>
      </c>
      <c r="G323" s="2"/>
      <c r="I323">
        <v>0</v>
      </c>
      <c r="J323" s="1"/>
      <c r="L323" s="1" t="s">
        <v>382</v>
      </c>
      <c r="M323" t="str">
        <f>IF(Fields[[#This Row],[Reference Entity]]&lt;&gt;"","t" &amp;Fields[[#This Row],[Reference Entity]],"")</f>
        <v/>
      </c>
      <c r="N323" t="str">
        <f>IF(Fields[[#This Row],[Reference Entity]]&lt;&gt;"",RIGHT(Fields[[#This Row],[Column Name]],LEN(Fields[[#This Row],[Column Name]])-2),"")</f>
        <v/>
      </c>
      <c r="P323" s="1"/>
      <c r="Q323" s="1"/>
      <c r="T323" s="1"/>
      <c r="U323" s="1"/>
    </row>
  </sheetData>
  <dataValidations count="2">
    <dataValidation type="list" allowBlank="1" showInputMessage="1" showErrorMessage="1" sqref="H24:H28 R2:R22 H2:H22 R24:R323 H30:H323" xr:uid="{495B4725-4939-4EB2-85B4-CFC1349C9CC1}">
      <formula1>"Yes"</formula1>
    </dataValidation>
    <dataValidation type="list" allowBlank="1" showInputMessage="1" showErrorMessage="1" sqref="F2:F323" xr:uid="{43996FCD-BD43-45E1-B0C6-48ACDBB86BE6}">
      <formula1>ListSQLTypes</formula1>
    </dataValidation>
  </dataValidations>
  <pageMargins left="0.7" right="0.7" top="0.78740157499999996" bottom="0.78740157499999996"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649EED2-04B6-47DB-8428-EFCA8AE5A4CB}">
          <x14:formula1>
            <xm:f>Lists!$C$2:$C$3</xm:f>
          </x14:formula1>
          <xm:sqref>O2:O22 O24:O323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E41F4-C0BE-427F-B56D-1149F2DA66D9}">
  <sheetPr codeName="Tabelle5"/>
  <dimension ref="A1:D59"/>
  <sheetViews>
    <sheetView topLeftCell="A19" workbookViewId="0">
      <selection activeCell="H13" sqref="H13"/>
    </sheetView>
  </sheetViews>
  <sheetFormatPr defaultColWidth="11.44140625" defaultRowHeight="14.4" x14ac:dyDescent="0.3"/>
  <cols>
    <col min="1" max="1" width="16.6640625" bestFit="1" customWidth="1"/>
    <col min="2" max="2" width="12.109375" bestFit="1" customWidth="1"/>
    <col min="3" max="3" width="7.88671875" bestFit="1" customWidth="1"/>
    <col min="4" max="4" width="26.5546875" bestFit="1" customWidth="1"/>
  </cols>
  <sheetData>
    <row r="1" spans="1:4" x14ac:dyDescent="0.3">
      <c r="A1" t="s">
        <v>430</v>
      </c>
      <c r="B1" t="s">
        <v>431</v>
      </c>
      <c r="C1" t="s">
        <v>25</v>
      </c>
      <c r="D1" t="s">
        <v>439</v>
      </c>
    </row>
    <row r="2" spans="1:4" x14ac:dyDescent="0.3">
      <c r="A2" t="s">
        <v>320</v>
      </c>
      <c r="B2" t="s">
        <v>437</v>
      </c>
      <c r="C2">
        <v>0</v>
      </c>
      <c r="D2" t="str">
        <f>Tabelle6[[#This Row],[Title]] &amp; " = "&amp;Tabelle6[[#This Row],[Code]]&amp;IF(A3=Tabelle6[[#This Row],[Type Name]],",","")</f>
        <v>BookingRule = 0,</v>
      </c>
    </row>
    <row r="3" spans="1:4" x14ac:dyDescent="0.3">
      <c r="A3" t="s">
        <v>320</v>
      </c>
      <c r="B3" t="s">
        <v>583</v>
      </c>
      <c r="C3">
        <v>1</v>
      </c>
      <c r="D3" t="str">
        <f>Tabelle6[[#This Row],[Title]] &amp; " = "&amp;Tabelle6[[#This Row],[Code]]&amp;IF(A4=Tabelle6[[#This Row],[Type Name]],",","")</f>
        <v>Purchase = 1,</v>
      </c>
    </row>
    <row r="4" spans="1:4" x14ac:dyDescent="0.3">
      <c r="A4" t="s">
        <v>320</v>
      </c>
      <c r="B4" t="s">
        <v>696</v>
      </c>
      <c r="C4">
        <v>2</v>
      </c>
      <c r="D4" t="str">
        <f>Tabelle6[[#This Row],[Title]] &amp; " = "&amp;Tabelle6[[#This Row],[Code]]&amp;IF(A5=Tabelle6[[#This Row],[Type Name]],",","")</f>
        <v>HR = 2,</v>
      </c>
    </row>
    <row r="5" spans="1:4" x14ac:dyDescent="0.3">
      <c r="A5" t="s">
        <v>320</v>
      </c>
      <c r="B5" t="s">
        <v>637</v>
      </c>
      <c r="C5">
        <v>3</v>
      </c>
      <c r="D5" t="str">
        <f>Tabelle6[[#This Row],[Title]] &amp; " = "&amp;Tabelle6[[#This Row],[Code]]&amp;IF(A6=Tabelle6[[#This Row],[Type Name]],",","")</f>
        <v>Sale = 3,</v>
      </c>
    </row>
    <row r="6" spans="1:4" x14ac:dyDescent="0.3">
      <c r="A6" t="s">
        <v>320</v>
      </c>
      <c r="B6" t="s">
        <v>638</v>
      </c>
      <c r="C6">
        <v>4</v>
      </c>
      <c r="D6" t="str">
        <f>Tabelle6[[#This Row],[Title]] &amp; " = "&amp;Tabelle6[[#This Row],[Code]]&amp;IF(A7=Tabelle6[[#This Row],[Type Name]],",","")</f>
        <v>Loan = 4</v>
      </c>
    </row>
    <row r="7" spans="1:4" x14ac:dyDescent="0.3">
      <c r="A7" t="s">
        <v>138</v>
      </c>
      <c r="B7" t="s">
        <v>433</v>
      </c>
      <c r="C7">
        <v>-1</v>
      </c>
      <c r="D7" t="str">
        <f>Tabelle6[[#This Row],[Title]] &amp; " = "&amp;Tabelle6[[#This Row],[Code]]&amp;IF(A8=Tabelle6[[#This Row],[Type Name]],",","")</f>
        <v>Schedule = -1,</v>
      </c>
    </row>
    <row r="8" spans="1:4" x14ac:dyDescent="0.3">
      <c r="A8" t="s">
        <v>138</v>
      </c>
      <c r="B8" t="s">
        <v>432</v>
      </c>
      <c r="C8">
        <v>0</v>
      </c>
      <c r="D8" t="str">
        <f>Tabelle6[[#This Row],[Title]] &amp; " = "&amp;Tabelle6[[#This Row],[Code]]&amp;IF(A9=Tabelle6[[#This Row],[Type Name]],",","")</f>
        <v>NoRepeat = 0,</v>
      </c>
    </row>
    <row r="9" spans="1:4" x14ac:dyDescent="0.3">
      <c r="A9" t="s">
        <v>138</v>
      </c>
      <c r="B9" t="s">
        <v>434</v>
      </c>
      <c r="C9">
        <v>1</v>
      </c>
      <c r="D9" t="str">
        <f>Tabelle6[[#This Row],[Title]] &amp; " = "&amp;Tabelle6[[#This Row],[Code]]&amp;IF(A10=Tabelle6[[#This Row],[Type Name]],",","")</f>
        <v>Monthly = 1,</v>
      </c>
    </row>
    <row r="10" spans="1:4" x14ac:dyDescent="0.3">
      <c r="A10" t="s">
        <v>138</v>
      </c>
      <c r="B10" t="s">
        <v>435</v>
      </c>
      <c r="C10">
        <v>3</v>
      </c>
      <c r="D10" t="str">
        <f>Tabelle6[[#This Row],[Title]] &amp; " = "&amp;Tabelle6[[#This Row],[Code]]&amp;IF(A11=Tabelle6[[#This Row],[Type Name]],",","")</f>
        <v>Quarterly = 3,</v>
      </c>
    </row>
    <row r="11" spans="1:4" x14ac:dyDescent="0.3">
      <c r="A11" t="s">
        <v>138</v>
      </c>
      <c r="B11" t="s">
        <v>436</v>
      </c>
      <c r="C11">
        <v>12</v>
      </c>
      <c r="D11" t="str">
        <f>Tabelle6[[#This Row],[Title]] &amp; " = "&amp;Tabelle6[[#This Row],[Code]]&amp;IF(A12=Tabelle6[[#This Row],[Type Name]],",","")</f>
        <v>Annually = 12</v>
      </c>
    </row>
    <row r="12" spans="1:4" x14ac:dyDescent="0.3">
      <c r="A12" t="s">
        <v>318</v>
      </c>
      <c r="B12" s="5" t="s">
        <v>441</v>
      </c>
      <c r="C12" s="5">
        <v>0</v>
      </c>
      <c r="D12" t="str">
        <f>Tabelle6[[#This Row],[Title]] &amp; " = "&amp;Tabelle6[[#This Row],[Code]]&amp;IF(A13=Tabelle6[[#This Row],[Type Name]],",","")</f>
        <v>Actual = 0,</v>
      </c>
    </row>
    <row r="13" spans="1:4" x14ac:dyDescent="0.3">
      <c r="A13" t="s">
        <v>318</v>
      </c>
      <c r="B13" t="s">
        <v>440</v>
      </c>
      <c r="C13">
        <v>1</v>
      </c>
      <c r="D13" t="str">
        <f>Tabelle6[[#This Row],[Title]] &amp; " = "&amp;Tabelle6[[#This Row],[Code]]&amp;IF(A14=Tabelle6[[#This Row],[Type Name]],",","")</f>
        <v>Baseline = 1,</v>
      </c>
    </row>
    <row r="14" spans="1:4" x14ac:dyDescent="0.3">
      <c r="A14" t="s">
        <v>318</v>
      </c>
      <c r="B14" t="s">
        <v>342</v>
      </c>
      <c r="C14">
        <v>2</v>
      </c>
      <c r="D14" t="str">
        <f>Tabelle6[[#This Row],[Title]] &amp; " = "&amp;Tabelle6[[#This Row],[Code]]&amp;IF(A15=Tabelle6[[#This Row],[Type Name]],",","")</f>
        <v>Plan = 2,</v>
      </c>
    </row>
    <row r="15" spans="1:4" x14ac:dyDescent="0.3">
      <c r="A15" t="s">
        <v>318</v>
      </c>
      <c r="B15" t="s">
        <v>867</v>
      </c>
      <c r="C15">
        <v>3</v>
      </c>
      <c r="D15" t="str">
        <f>Tabelle6[[#This Row],[Title]] &amp; " = "&amp;Tabelle6[[#This Row],[Code]]&amp;IF(A16=Tabelle6[[#This Row],[Type Name]],",","")</f>
        <v>New = 3,</v>
      </c>
    </row>
    <row r="16" spans="1:4" x14ac:dyDescent="0.3">
      <c r="A16" t="s">
        <v>318</v>
      </c>
      <c r="B16" t="s">
        <v>866</v>
      </c>
      <c r="C16">
        <v>9</v>
      </c>
      <c r="D16" t="str">
        <f>Tabelle6[[#This Row],[Title]] &amp; " = "&amp;Tabelle6[[#This Row],[Code]]&amp;IF(A17=Tabelle6[[#This Row],[Type Name]],",","")</f>
        <v>Historical = 9,</v>
      </c>
    </row>
    <row r="17" spans="1:4" x14ac:dyDescent="0.3">
      <c r="A17" t="s">
        <v>318</v>
      </c>
      <c r="B17" t="s">
        <v>869</v>
      </c>
      <c r="C17">
        <v>-1</v>
      </c>
      <c r="D17" t="str">
        <f>Tabelle6[[#This Row],[Title]] &amp; " = "&amp;Tabelle6[[#This Row],[Code]]&amp;IF(A18=Tabelle6[[#This Row],[Type Name]],",","")</f>
        <v>Obsolete = -1</v>
      </c>
    </row>
    <row r="18" spans="1:4" x14ac:dyDescent="0.3">
      <c r="A18" t="s">
        <v>321</v>
      </c>
      <c r="B18" s="1" t="s">
        <v>444</v>
      </c>
      <c r="C18">
        <v>0</v>
      </c>
      <c r="D18" t="str">
        <f>Tabelle6[[#This Row],[Title]] &amp; " = "&amp;Tabelle6[[#This Row],[Code]]&amp;IF(A19=Tabelle6[[#This Row],[Type Name]],",","")</f>
        <v>PriceFactor = 0,</v>
      </c>
    </row>
    <row r="19" spans="1:4" x14ac:dyDescent="0.3">
      <c r="A19" t="s">
        <v>321</v>
      </c>
      <c r="B19" t="s">
        <v>445</v>
      </c>
      <c r="C19">
        <v>10</v>
      </c>
      <c r="D19" t="str">
        <f>Tabelle6[[#This Row],[Title]] &amp; " = "&amp;Tabelle6[[#This Row],[Code]]&amp;IF(A20=Tabelle6[[#This Row],[Type Name]],",","")</f>
        <v>TriggerDate = 10,</v>
      </c>
    </row>
    <row r="20" spans="1:4" x14ac:dyDescent="0.3">
      <c r="A20" t="s">
        <v>321</v>
      </c>
      <c r="B20" t="s">
        <v>69</v>
      </c>
      <c r="C20">
        <v>20</v>
      </c>
      <c r="D20" t="str">
        <f>Tabelle6[[#This Row],[Title]] &amp; " = "&amp;Tabelle6[[#This Row],[Code]]&amp;IF(A21=Tabelle6[[#This Row],[Type Name]],",","")</f>
        <v>ContingencyRate = 20</v>
      </c>
    </row>
    <row r="21" spans="1:4" ht="28.8" x14ac:dyDescent="0.3">
      <c r="A21" s="1" t="s">
        <v>481</v>
      </c>
      <c r="B21" t="s">
        <v>482</v>
      </c>
      <c r="C21">
        <v>1</v>
      </c>
      <c r="D21" t="str">
        <f>Tabelle6[[#This Row],[Title]] &amp; " = "&amp;Tabelle6[[#This Row],[Code]]&amp;IF(A22=Tabelle6[[#This Row],[Type Name]],",","")</f>
        <v>Cash = 1,</v>
      </c>
    </row>
    <row r="22" spans="1:4" ht="28.8" x14ac:dyDescent="0.3">
      <c r="A22" s="1" t="s">
        <v>481</v>
      </c>
      <c r="B22" t="s">
        <v>483</v>
      </c>
      <c r="C22">
        <v>2</v>
      </c>
      <c r="D22" t="str">
        <f>Tabelle6[[#This Row],[Title]] &amp; " = "&amp;Tabelle6[[#This Row],[Code]]&amp;IF(A23=Tabelle6[[#This Row],[Type Name]],",","")</f>
        <v>CashDefault = 2,</v>
      </c>
    </row>
    <row r="23" spans="1:4" ht="28.8" x14ac:dyDescent="0.3">
      <c r="A23" s="1" t="s">
        <v>481</v>
      </c>
      <c r="B23" t="s">
        <v>485</v>
      </c>
      <c r="C23">
        <v>3</v>
      </c>
      <c r="D23" t="str">
        <f>Tabelle6[[#This Row],[Title]] &amp; " = "&amp;Tabelle6[[#This Row],[Code]]&amp;IF(A24=Tabelle6[[#This Row],[Type Name]],",","")</f>
        <v>Payables = 3,</v>
      </c>
    </row>
    <row r="24" spans="1:4" x14ac:dyDescent="0.3">
      <c r="A24" t="s">
        <v>481</v>
      </c>
      <c r="B24" t="s">
        <v>484</v>
      </c>
      <c r="C24">
        <v>4</v>
      </c>
      <c r="D24" t="str">
        <f>Tabelle6[[#This Row],[Title]] &amp; " = "&amp;Tabelle6[[#This Row],[Code]]&amp;IF(A25=Tabelle6[[#This Row],[Type Name]],",","")</f>
        <v>PayablesDefault = 4,</v>
      </c>
    </row>
    <row r="25" spans="1:4" x14ac:dyDescent="0.3">
      <c r="A25" t="s">
        <v>481</v>
      </c>
      <c r="B25" t="s">
        <v>560</v>
      </c>
      <c r="C25">
        <v>5</v>
      </c>
      <c r="D25" t="str">
        <f>Tabelle6[[#This Row],[Title]] &amp; " = "&amp;Tabelle6[[#This Row],[Code]]&amp;IF(A26=Tabelle6[[#This Row],[Type Name]],",","")</f>
        <v>AdvanceReceived = 5,</v>
      </c>
    </row>
    <row r="26" spans="1:4" x14ac:dyDescent="0.3">
      <c r="A26" t="s">
        <v>481</v>
      </c>
      <c r="B26" t="s">
        <v>561</v>
      </c>
      <c r="C26">
        <v>6</v>
      </c>
      <c r="D26" t="str">
        <f>Tabelle6[[#This Row],[Title]] &amp; " = "&amp;Tabelle6[[#This Row],[Code]]&amp;IF(A27=Tabelle6[[#This Row],[Type Name]],",","")</f>
        <v>AdvanceReceivedDefault = 6,</v>
      </c>
    </row>
    <row r="27" spans="1:4" x14ac:dyDescent="0.3">
      <c r="A27" t="s">
        <v>481</v>
      </c>
      <c r="B27" t="s">
        <v>868</v>
      </c>
      <c r="C27">
        <v>11</v>
      </c>
      <c r="D27" t="str">
        <f>Tabelle6[[#This Row],[Title]] &amp; " = "&amp;Tabelle6[[#This Row],[Code]]&amp;IF(A28=Tabelle6[[#This Row],[Type Name]],",","")</f>
        <v>SalaryDefault = 11</v>
      </c>
    </row>
    <row r="28" spans="1:4" x14ac:dyDescent="0.3">
      <c r="A28" t="s">
        <v>319</v>
      </c>
      <c r="B28" t="s">
        <v>507</v>
      </c>
      <c r="C28">
        <v>0</v>
      </c>
      <c r="D28" t="str">
        <f>Tabelle6[[#This Row],[Title]] &amp; " = "&amp;Tabelle6[[#This Row],[Code]]&amp;IF(A29=Tabelle6[[#This Row],[Type Name]],",","")</f>
        <v>Linear = 0</v>
      </c>
    </row>
    <row r="29" spans="1:4" x14ac:dyDescent="0.3">
      <c r="A29" t="s">
        <v>547</v>
      </c>
      <c r="B29" t="s">
        <v>550</v>
      </c>
      <c r="C29">
        <v>-1</v>
      </c>
      <c r="D29" t="str">
        <f>Tabelle6[[#This Row],[Title]] &amp; " = "&amp;Tabelle6[[#This Row],[Code]]&amp;IF(A30=Tabelle6[[#This Row],[Type Name]],",","")</f>
        <v>NoUser = -1,</v>
      </c>
    </row>
    <row r="30" spans="1:4" x14ac:dyDescent="0.3">
      <c r="A30" t="s">
        <v>547</v>
      </c>
      <c r="B30" t="s">
        <v>548</v>
      </c>
      <c r="C30">
        <v>0</v>
      </c>
      <c r="D30" t="str">
        <f>Tabelle6[[#This Row],[Title]] &amp; " = "&amp;Tabelle6[[#This Row],[Code]]&amp;IF(A31=Tabelle6[[#This Row],[Type Name]],",","")</f>
        <v>Standard = 0,</v>
      </c>
    </row>
    <row r="31" spans="1:4" x14ac:dyDescent="0.3">
      <c r="A31" t="s">
        <v>547</v>
      </c>
      <c r="B31" t="s">
        <v>549</v>
      </c>
      <c r="C31">
        <v>1</v>
      </c>
      <c r="D31" t="str">
        <f>Tabelle6[[#This Row],[Title]] &amp; " = "&amp;Tabelle6[[#This Row],[Code]]&amp;IF(A32=Tabelle6[[#This Row],[Type Name]],",","")</f>
        <v>Admin = 1</v>
      </c>
    </row>
    <row r="32" spans="1:4" x14ac:dyDescent="0.3">
      <c r="A32" t="s">
        <v>573</v>
      </c>
      <c r="B32" s="1" t="s">
        <v>580</v>
      </c>
      <c r="C32" t="s">
        <v>575</v>
      </c>
      <c r="D32" t="str">
        <f>Tabelle6[[#This Row],[Title]] &amp; " = "&amp;Tabelle6[[#This Row],[Code]]&amp;IF(A33=Tabelle6[[#This Row],[Type Name]],",","")</f>
        <v>Employee = E,</v>
      </c>
    </row>
    <row r="33" spans="1:4" x14ac:dyDescent="0.3">
      <c r="A33" t="s">
        <v>573</v>
      </c>
      <c r="B33" t="s">
        <v>578</v>
      </c>
      <c r="C33" t="s">
        <v>574</v>
      </c>
      <c r="D33" t="str">
        <f>Tabelle6[[#This Row],[Title]] &amp; " = "&amp;Tabelle6[[#This Row],[Code]]&amp;IF(A34=Tabelle6[[#This Row],[Type Name]],",","")</f>
        <v>Inventory = I,</v>
      </c>
    </row>
    <row r="34" spans="1:4" x14ac:dyDescent="0.3">
      <c r="A34" t="s">
        <v>573</v>
      </c>
      <c r="B34" t="s">
        <v>438</v>
      </c>
      <c r="C34" t="s">
        <v>576</v>
      </c>
      <c r="D34" t="str">
        <f>Tabelle6[[#This Row],[Title]] &amp; " = "&amp;Tabelle6[[#This Row],[Code]]&amp;IF(A35=Tabelle6[[#This Row],[Type Name]],",","")</f>
        <v>Contract = C,</v>
      </c>
    </row>
    <row r="35" spans="1:4" x14ac:dyDescent="0.3">
      <c r="A35" t="s">
        <v>573</v>
      </c>
      <c r="B35" t="s">
        <v>579</v>
      </c>
      <c r="C35" t="s">
        <v>577</v>
      </c>
      <c r="D35" t="str">
        <f>Tabelle6[[#This Row],[Title]] &amp; " = "&amp;Tabelle6[[#This Row],[Code]]&amp;IF(A36=Tabelle6[[#This Row],[Type Name]],",","")</f>
        <v>Project = P</v>
      </c>
    </row>
    <row r="36" spans="1:4" x14ac:dyDescent="0.3">
      <c r="A36" t="s">
        <v>171</v>
      </c>
      <c r="B36" s="5" t="s">
        <v>827</v>
      </c>
      <c r="C36">
        <v>0</v>
      </c>
      <c r="D36" t="str">
        <f>Tabelle6[[#This Row],[Title]] &amp; " = "&amp;Tabelle6[[#This Row],[Code]]&amp;IF(A37=Tabelle6[[#This Row],[Type Name]],",","")</f>
        <v>P_L = 0,</v>
      </c>
    </row>
    <row r="37" spans="1:4" x14ac:dyDescent="0.3">
      <c r="A37" t="s">
        <v>171</v>
      </c>
      <c r="B37" t="s">
        <v>586</v>
      </c>
      <c r="C37">
        <v>1</v>
      </c>
      <c r="D37" t="str">
        <f>Tabelle6[[#This Row],[Title]] &amp; " = "&amp;Tabelle6[[#This Row],[Code]]&amp;IF(A38=Tabelle6[[#This Row],[Type Name]],",","")</f>
        <v>Assets = 1,</v>
      </c>
    </row>
    <row r="38" spans="1:4" x14ac:dyDescent="0.3">
      <c r="A38" t="s">
        <v>171</v>
      </c>
      <c r="B38" t="s">
        <v>585</v>
      </c>
      <c r="C38">
        <v>2</v>
      </c>
      <c r="D38" t="str">
        <f>Tabelle6[[#This Row],[Title]] &amp; " = "&amp;Tabelle6[[#This Row],[Code]]&amp;IF(A39=Tabelle6[[#This Row],[Type Name]],",","")</f>
        <v>Liabilities = 2,</v>
      </c>
    </row>
    <row r="39" spans="1:4" x14ac:dyDescent="0.3">
      <c r="A39" t="s">
        <v>171</v>
      </c>
      <c r="B39" t="s">
        <v>826</v>
      </c>
      <c r="C39">
        <v>3</v>
      </c>
      <c r="D39" t="str">
        <f>Tabelle6[[#This Row],[Title]] &amp; " = "&amp;Tabelle6[[#This Row],[Code]]&amp;IF(A40=Tabelle6[[#This Row],[Type Name]],",","")</f>
        <v>Other = 3</v>
      </c>
    </row>
    <row r="40" spans="1:4" x14ac:dyDescent="0.3">
      <c r="A40" t="s">
        <v>319</v>
      </c>
      <c r="B40" t="s">
        <v>507</v>
      </c>
      <c r="C40">
        <v>0</v>
      </c>
      <c r="D40" t="str">
        <f>Tabelle6[[#This Row],[Title]] &amp; " = "&amp;Tabelle6[[#This Row],[Code]]&amp;IF(A41=Tabelle6[[#This Row],[Type Name]],",","")</f>
        <v>Linear = 0</v>
      </c>
    </row>
    <row r="41" spans="1:4" x14ac:dyDescent="0.3">
      <c r="A41" t="s">
        <v>597</v>
      </c>
      <c r="B41" t="s">
        <v>434</v>
      </c>
      <c r="C41">
        <v>1</v>
      </c>
      <c r="D41" t="str">
        <f>Tabelle6[[#This Row],[Title]] &amp; " = "&amp;Tabelle6[[#This Row],[Code]]&amp;IF(A42=Tabelle6[[#This Row],[Type Name]],",","")</f>
        <v>Monthly = 1,</v>
      </c>
    </row>
    <row r="42" spans="1:4" x14ac:dyDescent="0.3">
      <c r="A42" t="s">
        <v>597</v>
      </c>
      <c r="B42" t="s">
        <v>435</v>
      </c>
      <c r="C42">
        <v>3</v>
      </c>
      <c r="D42" t="str">
        <f>Tabelle6[[#This Row],[Title]] &amp; " = "&amp;Tabelle6[[#This Row],[Code]]&amp;IF(A43=Tabelle6[[#This Row],[Type Name]],",","")</f>
        <v>Quarterly = 3,</v>
      </c>
    </row>
    <row r="43" spans="1:4" x14ac:dyDescent="0.3">
      <c r="A43" t="s">
        <v>597</v>
      </c>
      <c r="B43" t="s">
        <v>587</v>
      </c>
      <c r="C43">
        <v>6</v>
      </c>
      <c r="D43" t="str">
        <f>Tabelle6[[#This Row],[Title]] &amp; " = "&amp;Tabelle6[[#This Row],[Code]]&amp;IF(A44=Tabelle6[[#This Row],[Type Name]],",","")</f>
        <v>Semiannually = 6,</v>
      </c>
    </row>
    <row r="44" spans="1:4" x14ac:dyDescent="0.3">
      <c r="A44" t="s">
        <v>597</v>
      </c>
      <c r="B44" t="s">
        <v>436</v>
      </c>
      <c r="C44">
        <v>12</v>
      </c>
      <c r="D44" t="str">
        <f>Tabelle6[[#This Row],[Title]] &amp; " = "&amp;Tabelle6[[#This Row],[Code]]&amp;IF(A45=Tabelle6[[#This Row],[Type Name]],",","")</f>
        <v>Annually = 12</v>
      </c>
    </row>
    <row r="45" spans="1:4" ht="28.8" x14ac:dyDescent="0.3">
      <c r="A45" s="1" t="s">
        <v>721</v>
      </c>
      <c r="B45" t="s">
        <v>722</v>
      </c>
      <c r="C45">
        <v>0</v>
      </c>
      <c r="D45" t="str">
        <f>Tabelle6[[#This Row],[Title]] &amp; " = "&amp;Tabelle6[[#This Row],[Code]]&amp;IF(A46=Tabelle6[[#This Row],[Type Name]],",","")</f>
        <v>Distribute = 0,</v>
      </c>
    </row>
    <row r="46" spans="1:4" ht="28.8" x14ac:dyDescent="0.3">
      <c r="A46" s="1" t="s">
        <v>721</v>
      </c>
      <c r="B46" t="s">
        <v>723</v>
      </c>
      <c r="C46">
        <v>1</v>
      </c>
      <c r="D46" t="str">
        <f>Tabelle6[[#This Row],[Title]] &amp; " = "&amp;Tabelle6[[#This Row],[Code]]&amp;IF(A47=Tabelle6[[#This Row],[Type Name]],",","")</f>
        <v>Add = 1,</v>
      </c>
    </row>
    <row r="47" spans="1:4" ht="28.8" x14ac:dyDescent="0.3">
      <c r="A47" s="1" t="s">
        <v>721</v>
      </c>
      <c r="B47" t="s">
        <v>724</v>
      </c>
      <c r="C47">
        <v>2</v>
      </c>
      <c r="D47" t="str">
        <f>Tabelle6[[#This Row],[Title]] &amp; " = "&amp;Tabelle6[[#This Row],[Code]]&amp;IF(A48=Tabelle6[[#This Row],[Type Name]],",","")</f>
        <v>Exclude = 2</v>
      </c>
    </row>
    <row r="48" spans="1:4" x14ac:dyDescent="0.3">
      <c r="A48" s="1" t="s">
        <v>763</v>
      </c>
      <c r="B48" t="s">
        <v>767</v>
      </c>
      <c r="C48">
        <v>1</v>
      </c>
      <c r="D48" t="str">
        <f>Tabelle6[[#This Row],[Title]] &amp; " = "&amp;Tabelle6[[#This Row],[Code]]&amp;IF(A49=Tabelle6[[#This Row],[Type Name]],",","")</f>
        <v>JournalImport = 1,</v>
      </c>
    </row>
    <row r="49" spans="1:4" x14ac:dyDescent="0.3">
      <c r="A49" s="1" t="s">
        <v>763</v>
      </c>
      <c r="B49" t="s">
        <v>768</v>
      </c>
      <c r="C49">
        <v>2</v>
      </c>
      <c r="D49" t="str">
        <f>Tabelle6[[#This Row],[Title]] &amp; " = "&amp;Tabelle6[[#This Row],[Code]]&amp;IF(A50=Tabelle6[[#This Row],[Type Name]],",","")</f>
        <v>PlanImport = 2,</v>
      </c>
    </row>
    <row r="50" spans="1:4" x14ac:dyDescent="0.3">
      <c r="A50" s="1" t="s">
        <v>763</v>
      </c>
      <c r="B50" t="s">
        <v>769</v>
      </c>
      <c r="C50">
        <v>3</v>
      </c>
      <c r="D50" t="str">
        <f>Tabelle6[[#This Row],[Title]] &amp; " = "&amp;Tabelle6[[#This Row],[Code]]&amp;IF(A51=Tabelle6[[#This Row],[Type Name]],",","")</f>
        <v>PlanImplement = 3</v>
      </c>
    </row>
    <row r="51" spans="1:4" x14ac:dyDescent="0.3">
      <c r="A51" t="s">
        <v>766</v>
      </c>
      <c r="B51" t="s">
        <v>770</v>
      </c>
      <c r="C51">
        <v>1</v>
      </c>
      <c r="D51" t="str">
        <f>Tabelle6[[#This Row],[Title]] &amp; " = "&amp;Tabelle6[[#This Row],[Code]]&amp;IF(A52=Tabelle6[[#This Row],[Type Name]],",","")</f>
        <v>Success = 1,</v>
      </c>
    </row>
    <row r="52" spans="1:4" x14ac:dyDescent="0.3">
      <c r="A52" t="s">
        <v>766</v>
      </c>
      <c r="B52" t="s">
        <v>771</v>
      </c>
      <c r="C52">
        <v>2</v>
      </c>
      <c r="D52" t="str">
        <f>Tabelle6[[#This Row],[Title]] &amp; " = "&amp;Tabelle6[[#This Row],[Code]]&amp;IF(A53=Tabelle6[[#This Row],[Type Name]],",","")</f>
        <v>Error = 2,</v>
      </c>
    </row>
    <row r="53" spans="1:4" x14ac:dyDescent="0.3">
      <c r="A53" t="s">
        <v>766</v>
      </c>
      <c r="B53" t="s">
        <v>772</v>
      </c>
      <c r="C53">
        <v>3</v>
      </c>
      <c r="D53" t="str">
        <f>Tabelle6[[#This Row],[Title]] &amp; " = "&amp;Tabelle6[[#This Row],[Code]]&amp;IF(A54=Tabelle6[[#This Row],[Type Name]],",","")</f>
        <v>Warning = 3</v>
      </c>
    </row>
    <row r="54" spans="1:4" x14ac:dyDescent="0.3">
      <c r="A54" s="11" t="s">
        <v>785</v>
      </c>
      <c r="B54" s="5" t="s">
        <v>441</v>
      </c>
      <c r="C54" s="5">
        <v>0</v>
      </c>
      <c r="D54" t="str">
        <f>Tabelle6[[#This Row],[Title]] &amp; " = "&amp;Tabelle6[[#This Row],[Code]]&amp;IF(A55=Tabelle6[[#This Row],[Type Name]],",","")</f>
        <v>Actual = 0,</v>
      </c>
    </row>
    <row r="55" spans="1:4" x14ac:dyDescent="0.3">
      <c r="A55" s="11" t="s">
        <v>785</v>
      </c>
      <c r="B55" t="s">
        <v>440</v>
      </c>
      <c r="C55">
        <v>1</v>
      </c>
      <c r="D55" t="str">
        <f>Tabelle6[[#This Row],[Title]] &amp; " = "&amp;Tabelle6[[#This Row],[Code]]&amp;IF(A56=Tabelle6[[#This Row],[Type Name]],",","")</f>
        <v>Baseline = 1,</v>
      </c>
    </row>
    <row r="56" spans="1:4" x14ac:dyDescent="0.3">
      <c r="A56" s="11" t="s">
        <v>785</v>
      </c>
      <c r="B56" t="s">
        <v>342</v>
      </c>
      <c r="C56">
        <v>2</v>
      </c>
      <c r="D56" t="str">
        <f>Tabelle6[[#This Row],[Title]] &amp; " = "&amp;Tabelle6[[#This Row],[Code]]&amp;IF(A57=Tabelle6[[#This Row],[Type Name]],",","")</f>
        <v>Plan = 2,</v>
      </c>
    </row>
    <row r="57" spans="1:4" x14ac:dyDescent="0.3">
      <c r="A57" s="11" t="s">
        <v>785</v>
      </c>
      <c r="B57" t="s">
        <v>867</v>
      </c>
      <c r="C57">
        <v>3</v>
      </c>
      <c r="D57" t="str">
        <f>Tabelle6[[#This Row],[Title]] &amp; " = "&amp;Tabelle6[[#This Row],[Code]]&amp;IF(A58=Tabelle6[[#This Row],[Type Name]],",","")</f>
        <v>New = 3,</v>
      </c>
    </row>
    <row r="58" spans="1:4" x14ac:dyDescent="0.3">
      <c r="A58" s="11" t="s">
        <v>785</v>
      </c>
      <c r="B58" t="s">
        <v>866</v>
      </c>
      <c r="C58">
        <v>9</v>
      </c>
      <c r="D58" t="str">
        <f>Tabelle6[[#This Row],[Title]] &amp; " = "&amp;Tabelle6[[#This Row],[Code]]&amp;IF(A59=Tabelle6[[#This Row],[Type Name]],",","")</f>
        <v>Historical = 9,</v>
      </c>
    </row>
    <row r="59" spans="1:4" x14ac:dyDescent="0.3">
      <c r="A59" s="10" t="s">
        <v>785</v>
      </c>
      <c r="B59" t="s">
        <v>869</v>
      </c>
      <c r="C59">
        <v>-1</v>
      </c>
      <c r="D59" t="str">
        <f>Tabelle6[[#This Row],[Title]] &amp; " = "&amp;Tabelle6[[#This Row],[Code]]&amp;IF(A60=Tabelle6[[#This Row],[Type Name]],",","")</f>
        <v>Obsolete = -1</v>
      </c>
    </row>
  </sheetData>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C8276-7C85-4771-88A3-FD597868EC41}">
  <sheetPr codeName="Tabelle3"/>
  <dimension ref="A1:E108"/>
  <sheetViews>
    <sheetView workbookViewId="0">
      <selection activeCell="D108" sqref="D108"/>
    </sheetView>
  </sheetViews>
  <sheetFormatPr defaultColWidth="11.44140625" defaultRowHeight="14.4" x14ac:dyDescent="0.3"/>
  <cols>
    <col min="3" max="3" width="15.44140625" customWidth="1"/>
    <col min="4" max="4" width="144.88671875" customWidth="1"/>
  </cols>
  <sheetData>
    <row r="1" spans="1:5" x14ac:dyDescent="0.3">
      <c r="A1" t="s">
        <v>93</v>
      </c>
      <c r="B1" t="s">
        <v>22</v>
      </c>
      <c r="C1" t="s">
        <v>397</v>
      </c>
      <c r="D1" t="s">
        <v>3</v>
      </c>
      <c r="E1" t="s">
        <v>324</v>
      </c>
    </row>
    <row r="2" spans="1:5" ht="28.8" hidden="1" x14ac:dyDescent="0.3">
      <c r="A2" s="3">
        <v>43951</v>
      </c>
      <c r="B2" t="s">
        <v>119</v>
      </c>
      <c r="C2" t="s">
        <v>620</v>
      </c>
      <c r="D2" s="1" t="s">
        <v>94</v>
      </c>
      <c r="E2" t="s">
        <v>389</v>
      </c>
    </row>
    <row r="3" spans="1:5" hidden="1" x14ac:dyDescent="0.3">
      <c r="A3" s="3">
        <v>43951</v>
      </c>
      <c r="B3" t="s">
        <v>120</v>
      </c>
      <c r="C3" t="s">
        <v>342</v>
      </c>
      <c r="D3" s="1" t="s">
        <v>613</v>
      </c>
    </row>
    <row r="4" spans="1:5" hidden="1" x14ac:dyDescent="0.3">
      <c r="A4" s="3">
        <v>43951</v>
      </c>
      <c r="B4" t="s">
        <v>120</v>
      </c>
      <c r="C4" t="s">
        <v>342</v>
      </c>
      <c r="D4" s="1" t="s">
        <v>614</v>
      </c>
    </row>
    <row r="5" spans="1:5" ht="28.8" hidden="1" x14ac:dyDescent="0.3">
      <c r="A5" s="3">
        <v>43951</v>
      </c>
      <c r="B5" t="s">
        <v>119</v>
      </c>
      <c r="D5" s="1" t="s">
        <v>105</v>
      </c>
      <c r="E5" t="s">
        <v>389</v>
      </c>
    </row>
    <row r="6" spans="1:5" hidden="1" x14ac:dyDescent="0.3">
      <c r="A6" s="3">
        <v>43951</v>
      </c>
      <c r="B6" t="s">
        <v>120</v>
      </c>
      <c r="C6" t="s">
        <v>342</v>
      </c>
      <c r="D6" s="1" t="s">
        <v>121</v>
      </c>
    </row>
    <row r="7" spans="1:5" ht="28.8" hidden="1" x14ac:dyDescent="0.3">
      <c r="A7" s="3">
        <v>43951</v>
      </c>
      <c r="B7" t="s">
        <v>120</v>
      </c>
      <c r="C7" t="s">
        <v>348</v>
      </c>
      <c r="D7" s="1" t="s">
        <v>122</v>
      </c>
    </row>
    <row r="8" spans="1:5" hidden="1" x14ac:dyDescent="0.3">
      <c r="A8" s="3">
        <v>43951</v>
      </c>
      <c r="B8" t="s">
        <v>120</v>
      </c>
      <c r="C8" t="s">
        <v>621</v>
      </c>
      <c r="D8" s="1" t="s">
        <v>622</v>
      </c>
    </row>
    <row r="9" spans="1:5" hidden="1" x14ac:dyDescent="0.3">
      <c r="A9" s="3">
        <v>43952</v>
      </c>
      <c r="B9" t="s">
        <v>120</v>
      </c>
      <c r="C9" t="s">
        <v>342</v>
      </c>
      <c r="D9" s="1" t="s">
        <v>148</v>
      </c>
    </row>
    <row r="10" spans="1:5" hidden="1" x14ac:dyDescent="0.3">
      <c r="A10" s="3">
        <v>43952</v>
      </c>
      <c r="B10" t="s">
        <v>120</v>
      </c>
      <c r="C10" t="s">
        <v>343</v>
      </c>
      <c r="D10" s="1" t="s">
        <v>623</v>
      </c>
    </row>
    <row r="11" spans="1:5" hidden="1" x14ac:dyDescent="0.3">
      <c r="A11" s="3">
        <v>43952</v>
      </c>
      <c r="B11" t="s">
        <v>153</v>
      </c>
      <c r="D11" s="1" t="s">
        <v>154</v>
      </c>
      <c r="E11" t="s">
        <v>389</v>
      </c>
    </row>
    <row r="12" spans="1:5" hidden="1" x14ac:dyDescent="0.3">
      <c r="A12" s="3">
        <v>43952</v>
      </c>
      <c r="B12" t="s">
        <v>120</v>
      </c>
      <c r="C12" t="s">
        <v>147</v>
      </c>
      <c r="D12" s="1" t="s">
        <v>155</v>
      </c>
    </row>
    <row r="13" spans="1:5" hidden="1" x14ac:dyDescent="0.3">
      <c r="A13" s="3">
        <v>43953</v>
      </c>
      <c r="B13" t="s">
        <v>120</v>
      </c>
      <c r="C13" t="s">
        <v>342</v>
      </c>
      <c r="D13" s="1" t="s">
        <v>273</v>
      </c>
    </row>
    <row r="14" spans="1:5" hidden="1" x14ac:dyDescent="0.3">
      <c r="A14" s="3">
        <v>43955</v>
      </c>
      <c r="B14" t="s">
        <v>327</v>
      </c>
      <c r="D14" s="1" t="s">
        <v>328</v>
      </c>
      <c r="E14" t="s">
        <v>389</v>
      </c>
    </row>
    <row r="15" spans="1:5" hidden="1" x14ac:dyDescent="0.3">
      <c r="A15" s="3">
        <v>43955</v>
      </c>
      <c r="B15" t="s">
        <v>327</v>
      </c>
      <c r="D15" s="1" t="s">
        <v>329</v>
      </c>
      <c r="E15" t="s">
        <v>389</v>
      </c>
    </row>
    <row r="16" spans="1:5" hidden="1" x14ac:dyDescent="0.3">
      <c r="A16" s="3">
        <v>43955</v>
      </c>
      <c r="B16" t="s">
        <v>327</v>
      </c>
      <c r="D16" s="1" t="s">
        <v>330</v>
      </c>
      <c r="E16" t="s">
        <v>389</v>
      </c>
    </row>
    <row r="17" spans="1:5" hidden="1" x14ac:dyDescent="0.3">
      <c r="A17" s="3">
        <v>43955</v>
      </c>
      <c r="B17" t="s">
        <v>327</v>
      </c>
      <c r="C17" t="s">
        <v>617</v>
      </c>
      <c r="D17" s="1" t="s">
        <v>331</v>
      </c>
      <c r="E17" t="s">
        <v>389</v>
      </c>
    </row>
    <row r="18" spans="1:5" hidden="1" x14ac:dyDescent="0.3">
      <c r="A18" s="3">
        <v>43956</v>
      </c>
      <c r="B18" t="s">
        <v>153</v>
      </c>
      <c r="D18" s="1" t="s">
        <v>386</v>
      </c>
      <c r="E18" t="s">
        <v>389</v>
      </c>
    </row>
    <row r="19" spans="1:5" hidden="1" x14ac:dyDescent="0.3">
      <c r="A19" s="3">
        <v>43956</v>
      </c>
      <c r="B19" t="s">
        <v>327</v>
      </c>
      <c r="D19" s="1" t="s">
        <v>387</v>
      </c>
      <c r="E19" t="s">
        <v>389</v>
      </c>
    </row>
    <row r="20" spans="1:5" hidden="1" x14ac:dyDescent="0.3">
      <c r="A20" s="3">
        <v>43956</v>
      </c>
      <c r="B20" t="s">
        <v>327</v>
      </c>
      <c r="D20" s="1" t="s">
        <v>390</v>
      </c>
      <c r="E20" t="s">
        <v>389</v>
      </c>
    </row>
    <row r="21" spans="1:5" hidden="1" x14ac:dyDescent="0.3">
      <c r="A21" s="3">
        <v>43956</v>
      </c>
      <c r="B21" t="s">
        <v>153</v>
      </c>
      <c r="C21" t="s">
        <v>503</v>
      </c>
      <c r="D21" s="1" t="s">
        <v>391</v>
      </c>
      <c r="E21" t="s">
        <v>389</v>
      </c>
    </row>
    <row r="22" spans="1:5" hidden="1" x14ac:dyDescent="0.3">
      <c r="A22" s="3">
        <v>43958</v>
      </c>
      <c r="B22" t="s">
        <v>327</v>
      </c>
      <c r="C22" t="s">
        <v>503</v>
      </c>
      <c r="D22" s="1" t="s">
        <v>396</v>
      </c>
    </row>
    <row r="23" spans="1:5" hidden="1" x14ac:dyDescent="0.3">
      <c r="A23" s="3">
        <v>43958</v>
      </c>
      <c r="B23" t="s">
        <v>327</v>
      </c>
      <c r="C23" t="s">
        <v>398</v>
      </c>
      <c r="D23" s="1" t="s">
        <v>399</v>
      </c>
      <c r="E23" t="s">
        <v>389</v>
      </c>
    </row>
    <row r="24" spans="1:5" hidden="1" x14ac:dyDescent="0.3">
      <c r="A24" s="3">
        <v>43958</v>
      </c>
      <c r="B24" t="s">
        <v>327</v>
      </c>
      <c r="C24" t="s">
        <v>617</v>
      </c>
      <c r="D24" s="1" t="s">
        <v>618</v>
      </c>
    </row>
    <row r="25" spans="1:5" hidden="1" x14ac:dyDescent="0.3">
      <c r="A25" s="3">
        <v>43958</v>
      </c>
      <c r="B25" t="s">
        <v>327</v>
      </c>
      <c r="C25" t="s">
        <v>615</v>
      </c>
      <c r="D25" s="1" t="s">
        <v>619</v>
      </c>
    </row>
    <row r="26" spans="1:5" hidden="1" x14ac:dyDescent="0.3">
      <c r="A26" s="3">
        <v>43961</v>
      </c>
      <c r="B26" t="s">
        <v>327</v>
      </c>
      <c r="D26" s="1" t="s">
        <v>403</v>
      </c>
      <c r="E26" t="s">
        <v>389</v>
      </c>
    </row>
    <row r="27" spans="1:5" hidden="1" x14ac:dyDescent="0.3">
      <c r="A27" s="3">
        <v>43961</v>
      </c>
      <c r="B27" t="s">
        <v>327</v>
      </c>
      <c r="D27" s="1" t="s">
        <v>404</v>
      </c>
      <c r="E27" t="s">
        <v>389</v>
      </c>
    </row>
    <row r="28" spans="1:5" hidden="1" x14ac:dyDescent="0.3">
      <c r="A28" s="3">
        <v>43961</v>
      </c>
      <c r="B28" t="s">
        <v>327</v>
      </c>
      <c r="D28" s="1" t="s">
        <v>405</v>
      </c>
      <c r="E28" t="s">
        <v>389</v>
      </c>
    </row>
    <row r="29" spans="1:5" hidden="1" x14ac:dyDescent="0.3">
      <c r="A29" s="3">
        <v>43961</v>
      </c>
      <c r="B29" t="s">
        <v>327</v>
      </c>
      <c r="C29" t="s">
        <v>406</v>
      </c>
      <c r="D29" s="1" t="s">
        <v>418</v>
      </c>
      <c r="E29" t="s">
        <v>389</v>
      </c>
    </row>
    <row r="30" spans="1:5" hidden="1" x14ac:dyDescent="0.3">
      <c r="A30" s="3">
        <v>43961</v>
      </c>
      <c r="B30" t="s">
        <v>327</v>
      </c>
      <c r="C30" t="s">
        <v>406</v>
      </c>
      <c r="D30" s="1" t="s">
        <v>414</v>
      </c>
      <c r="E30" t="s">
        <v>389</v>
      </c>
    </row>
    <row r="31" spans="1:5" hidden="1" x14ac:dyDescent="0.3">
      <c r="A31" s="3">
        <v>43961</v>
      </c>
      <c r="B31" t="s">
        <v>327</v>
      </c>
      <c r="C31" t="s">
        <v>406</v>
      </c>
      <c r="D31" s="1" t="s">
        <v>409</v>
      </c>
      <c r="E31" t="s">
        <v>389</v>
      </c>
    </row>
    <row r="32" spans="1:5" hidden="1" x14ac:dyDescent="0.3">
      <c r="A32" s="3">
        <v>43961</v>
      </c>
      <c r="B32" t="s">
        <v>327</v>
      </c>
      <c r="C32" t="s">
        <v>406</v>
      </c>
      <c r="D32" s="1" t="s">
        <v>422</v>
      </c>
      <c r="E32" t="s">
        <v>389</v>
      </c>
    </row>
    <row r="33" spans="1:5" hidden="1" x14ac:dyDescent="0.3">
      <c r="A33" s="3">
        <v>43961</v>
      </c>
      <c r="B33" t="s">
        <v>327</v>
      </c>
      <c r="C33" t="s">
        <v>406</v>
      </c>
      <c r="D33" s="1" t="s">
        <v>410</v>
      </c>
      <c r="E33" t="s">
        <v>389</v>
      </c>
    </row>
    <row r="34" spans="1:5" hidden="1" x14ac:dyDescent="0.3">
      <c r="A34" s="3">
        <v>43961</v>
      </c>
      <c r="B34" t="s">
        <v>327</v>
      </c>
      <c r="C34" t="s">
        <v>406</v>
      </c>
      <c r="D34" s="1" t="s">
        <v>408</v>
      </c>
      <c r="E34" t="s">
        <v>389</v>
      </c>
    </row>
    <row r="35" spans="1:5" hidden="1" x14ac:dyDescent="0.3">
      <c r="A35" s="3">
        <v>43961</v>
      </c>
      <c r="B35" t="s">
        <v>327</v>
      </c>
      <c r="C35" t="s">
        <v>406</v>
      </c>
      <c r="D35" s="1" t="s">
        <v>413</v>
      </c>
      <c r="E35" t="s">
        <v>389</v>
      </c>
    </row>
    <row r="36" spans="1:5" hidden="1" x14ac:dyDescent="0.3">
      <c r="A36" s="3">
        <v>43961</v>
      </c>
      <c r="B36" t="s">
        <v>327</v>
      </c>
      <c r="C36" t="s">
        <v>406</v>
      </c>
      <c r="D36" s="1" t="s">
        <v>552</v>
      </c>
      <c r="E36" t="s">
        <v>389</v>
      </c>
    </row>
    <row r="37" spans="1:5" hidden="1" x14ac:dyDescent="0.3">
      <c r="A37" s="3">
        <v>43961</v>
      </c>
      <c r="B37" t="s">
        <v>327</v>
      </c>
      <c r="C37" t="s">
        <v>615</v>
      </c>
      <c r="D37" s="1" t="s">
        <v>407</v>
      </c>
      <c r="E37" t="s">
        <v>389</v>
      </c>
    </row>
    <row r="38" spans="1:5" hidden="1" x14ac:dyDescent="0.3">
      <c r="A38" s="3">
        <v>43961</v>
      </c>
      <c r="B38" t="s">
        <v>327</v>
      </c>
      <c r="C38" t="s">
        <v>406</v>
      </c>
      <c r="D38" s="1" t="s">
        <v>415</v>
      </c>
      <c r="E38" t="s">
        <v>389</v>
      </c>
    </row>
    <row r="39" spans="1:5" hidden="1" x14ac:dyDescent="0.3">
      <c r="A39" s="3">
        <v>43961</v>
      </c>
      <c r="B39" t="s">
        <v>327</v>
      </c>
      <c r="C39" t="s">
        <v>406</v>
      </c>
      <c r="D39" s="1" t="s">
        <v>446</v>
      </c>
      <c r="E39" t="s">
        <v>389</v>
      </c>
    </row>
    <row r="40" spans="1:5" hidden="1" x14ac:dyDescent="0.3">
      <c r="A40" s="3">
        <v>43961</v>
      </c>
      <c r="B40" t="s">
        <v>327</v>
      </c>
      <c r="C40" t="s">
        <v>615</v>
      </c>
      <c r="D40" s="1" t="s">
        <v>411</v>
      </c>
      <c r="E40" t="s">
        <v>389</v>
      </c>
    </row>
    <row r="41" spans="1:5" hidden="1" x14ac:dyDescent="0.3">
      <c r="A41" s="3">
        <v>43961</v>
      </c>
      <c r="B41" t="s">
        <v>327</v>
      </c>
      <c r="C41" t="s">
        <v>615</v>
      </c>
      <c r="D41" s="1" t="s">
        <v>412</v>
      </c>
    </row>
    <row r="42" spans="1:5" hidden="1" x14ac:dyDescent="0.3">
      <c r="A42" s="3">
        <v>43961</v>
      </c>
      <c r="B42" t="s">
        <v>327</v>
      </c>
      <c r="C42" t="s">
        <v>615</v>
      </c>
      <c r="D42" s="1" t="s">
        <v>416</v>
      </c>
      <c r="E42" t="s">
        <v>389</v>
      </c>
    </row>
    <row r="43" spans="1:5" hidden="1" x14ac:dyDescent="0.3">
      <c r="A43" s="3">
        <v>43961</v>
      </c>
      <c r="B43" t="s">
        <v>327</v>
      </c>
      <c r="D43" s="1" t="s">
        <v>417</v>
      </c>
      <c r="E43" t="s">
        <v>389</v>
      </c>
    </row>
    <row r="44" spans="1:5" hidden="1" x14ac:dyDescent="0.3">
      <c r="A44" s="3">
        <v>43961</v>
      </c>
      <c r="B44" t="s">
        <v>327</v>
      </c>
      <c r="C44" t="s">
        <v>615</v>
      </c>
      <c r="D44" s="1" t="s">
        <v>419</v>
      </c>
      <c r="E44" t="s">
        <v>389</v>
      </c>
    </row>
    <row r="45" spans="1:5" hidden="1" x14ac:dyDescent="0.3">
      <c r="A45" s="3">
        <v>43961</v>
      </c>
      <c r="B45" t="s">
        <v>327</v>
      </c>
      <c r="D45" s="1" t="s">
        <v>442</v>
      </c>
      <c r="E45" t="s">
        <v>389</v>
      </c>
    </row>
    <row r="46" spans="1:5" hidden="1" x14ac:dyDescent="0.3">
      <c r="A46" s="3">
        <v>43961</v>
      </c>
      <c r="B46" t="s">
        <v>327</v>
      </c>
      <c r="C46" t="s">
        <v>615</v>
      </c>
      <c r="D46" s="1" t="s">
        <v>447</v>
      </c>
      <c r="E46" t="s">
        <v>389</v>
      </c>
    </row>
    <row r="47" spans="1:5" hidden="1" x14ac:dyDescent="0.3">
      <c r="A47" s="3">
        <v>43961</v>
      </c>
      <c r="B47" t="s">
        <v>327</v>
      </c>
      <c r="C47" t="s">
        <v>406</v>
      </c>
      <c r="D47" s="1" t="s">
        <v>486</v>
      </c>
      <c r="E47" t="s">
        <v>389</v>
      </c>
    </row>
    <row r="48" spans="1:5" hidden="1" x14ac:dyDescent="0.3">
      <c r="A48" s="3">
        <v>43965</v>
      </c>
      <c r="B48" t="s">
        <v>327</v>
      </c>
      <c r="C48" t="s">
        <v>348</v>
      </c>
      <c r="D48" s="1" t="s">
        <v>494</v>
      </c>
    </row>
    <row r="49" spans="1:5" hidden="1" x14ac:dyDescent="0.3">
      <c r="A49" s="3">
        <v>43965</v>
      </c>
      <c r="B49" t="s">
        <v>327</v>
      </c>
      <c r="C49" t="s">
        <v>495</v>
      </c>
      <c r="D49" s="1" t="s">
        <v>496</v>
      </c>
      <c r="E49" t="s">
        <v>389</v>
      </c>
    </row>
    <row r="50" spans="1:5" hidden="1" x14ac:dyDescent="0.3">
      <c r="A50" s="3">
        <v>43965</v>
      </c>
      <c r="B50" t="s">
        <v>327</v>
      </c>
      <c r="C50" t="s">
        <v>495</v>
      </c>
      <c r="D50" s="1" t="s">
        <v>497</v>
      </c>
      <c r="E50" t="s">
        <v>389</v>
      </c>
    </row>
    <row r="51" spans="1:5" hidden="1" x14ac:dyDescent="0.3">
      <c r="A51" s="3">
        <v>43965</v>
      </c>
      <c r="B51" t="s">
        <v>327</v>
      </c>
      <c r="C51" t="s">
        <v>350</v>
      </c>
      <c r="D51" s="1" t="s">
        <v>498</v>
      </c>
      <c r="E51" t="s">
        <v>389</v>
      </c>
    </row>
    <row r="52" spans="1:5" hidden="1" x14ac:dyDescent="0.3">
      <c r="A52" s="3">
        <v>43965</v>
      </c>
      <c r="B52" t="s">
        <v>327</v>
      </c>
      <c r="C52" t="s">
        <v>501</v>
      </c>
      <c r="D52" s="1" t="s">
        <v>502</v>
      </c>
    </row>
    <row r="53" spans="1:5" hidden="1" x14ac:dyDescent="0.3">
      <c r="A53" s="3">
        <v>43965</v>
      </c>
      <c r="B53" t="s">
        <v>327</v>
      </c>
      <c r="C53" t="s">
        <v>503</v>
      </c>
      <c r="D53" s="1" t="s">
        <v>504</v>
      </c>
      <c r="E53" t="s">
        <v>389</v>
      </c>
    </row>
    <row r="54" spans="1:5" hidden="1" x14ac:dyDescent="0.3">
      <c r="A54" s="3">
        <v>43968</v>
      </c>
      <c r="B54" t="s">
        <v>327</v>
      </c>
      <c r="C54" t="s">
        <v>503</v>
      </c>
      <c r="D54" s="1" t="s">
        <v>526</v>
      </c>
    </row>
    <row r="55" spans="1:5" hidden="1" x14ac:dyDescent="0.3">
      <c r="A55" s="3">
        <v>43968</v>
      </c>
      <c r="B55" t="s">
        <v>327</v>
      </c>
      <c r="C55" t="s">
        <v>503</v>
      </c>
      <c r="D55" s="1" t="s">
        <v>551</v>
      </c>
    </row>
    <row r="56" spans="1:5" hidden="1" x14ac:dyDescent="0.3">
      <c r="A56" s="3">
        <v>43970</v>
      </c>
      <c r="B56" t="s">
        <v>565</v>
      </c>
      <c r="C56" t="s">
        <v>503</v>
      </c>
      <c r="D56" s="1" t="s">
        <v>566</v>
      </c>
    </row>
    <row r="57" spans="1:5" hidden="1" x14ac:dyDescent="0.3">
      <c r="A57" s="3">
        <v>43970</v>
      </c>
      <c r="B57" t="s">
        <v>327</v>
      </c>
      <c r="C57" t="s">
        <v>503</v>
      </c>
      <c r="D57" s="1" t="s">
        <v>567</v>
      </c>
      <c r="E57" t="s">
        <v>389</v>
      </c>
    </row>
    <row r="58" spans="1:5" ht="28.8" hidden="1" x14ac:dyDescent="0.3">
      <c r="A58" s="3">
        <v>43975</v>
      </c>
      <c r="B58" t="s">
        <v>327</v>
      </c>
      <c r="C58" t="s">
        <v>501</v>
      </c>
      <c r="D58" s="1" t="s">
        <v>584</v>
      </c>
    </row>
    <row r="59" spans="1:5" hidden="1" x14ac:dyDescent="0.3">
      <c r="A59" s="3">
        <v>43976</v>
      </c>
      <c r="B59" t="s">
        <v>120</v>
      </c>
      <c r="C59" t="s">
        <v>342</v>
      </c>
      <c r="D59" s="1" t="s">
        <v>604</v>
      </c>
    </row>
    <row r="60" spans="1:5" hidden="1" x14ac:dyDescent="0.3">
      <c r="A60" s="3">
        <v>43976</v>
      </c>
      <c r="B60" t="s">
        <v>120</v>
      </c>
      <c r="C60" t="s">
        <v>612</v>
      </c>
      <c r="D60" s="1" t="s">
        <v>605</v>
      </c>
      <c r="E60" t="s">
        <v>389</v>
      </c>
    </row>
    <row r="61" spans="1:5" hidden="1" x14ac:dyDescent="0.3">
      <c r="A61" s="3">
        <v>43976</v>
      </c>
      <c r="B61" t="s">
        <v>120</v>
      </c>
      <c r="C61" t="s">
        <v>612</v>
      </c>
      <c r="D61" s="1" t="s">
        <v>606</v>
      </c>
      <c r="E61" t="s">
        <v>389</v>
      </c>
    </row>
    <row r="62" spans="1:5" hidden="1" x14ac:dyDescent="0.3">
      <c r="A62" s="3">
        <v>43976</v>
      </c>
      <c r="B62" t="s">
        <v>120</v>
      </c>
      <c r="C62" t="s">
        <v>612</v>
      </c>
      <c r="D62" s="1" t="s">
        <v>607</v>
      </c>
      <c r="E62" t="s">
        <v>389</v>
      </c>
    </row>
    <row r="63" spans="1:5" hidden="1" x14ac:dyDescent="0.3">
      <c r="A63" s="3">
        <v>43976</v>
      </c>
      <c r="B63" t="s">
        <v>120</v>
      </c>
      <c r="C63" t="s">
        <v>612</v>
      </c>
      <c r="D63" s="1" t="s">
        <v>608</v>
      </c>
      <c r="E63" t="s">
        <v>389</v>
      </c>
    </row>
    <row r="64" spans="1:5" hidden="1" x14ac:dyDescent="0.3">
      <c r="A64" s="3">
        <v>43976</v>
      </c>
      <c r="B64" t="s">
        <v>120</v>
      </c>
      <c r="C64" t="s">
        <v>612</v>
      </c>
      <c r="D64" s="1" t="s">
        <v>609</v>
      </c>
      <c r="E64" t="s">
        <v>389</v>
      </c>
    </row>
    <row r="65" spans="1:5" hidden="1" x14ac:dyDescent="0.3">
      <c r="A65" s="3">
        <v>43976</v>
      </c>
      <c r="B65" t="s">
        <v>120</v>
      </c>
      <c r="C65" t="s">
        <v>612</v>
      </c>
      <c r="D65" s="1" t="s">
        <v>610</v>
      </c>
      <c r="E65" t="s">
        <v>389</v>
      </c>
    </row>
    <row r="66" spans="1:5" hidden="1" x14ac:dyDescent="0.3">
      <c r="A66" s="3">
        <v>43976</v>
      </c>
      <c r="B66" t="s">
        <v>120</v>
      </c>
      <c r="C66" t="s">
        <v>612</v>
      </c>
      <c r="D66" s="1" t="s">
        <v>611</v>
      </c>
      <c r="E66" t="s">
        <v>389</v>
      </c>
    </row>
    <row r="67" spans="1:5" hidden="1" x14ac:dyDescent="0.3">
      <c r="A67" s="3">
        <v>43976</v>
      </c>
      <c r="B67" t="s">
        <v>120</v>
      </c>
      <c r="C67" t="s">
        <v>612</v>
      </c>
      <c r="D67" s="1" t="s">
        <v>781</v>
      </c>
      <c r="E67" t="s">
        <v>389</v>
      </c>
    </row>
    <row r="68" spans="1:5" hidden="1" x14ac:dyDescent="0.3">
      <c r="A68" s="3">
        <v>43976</v>
      </c>
      <c r="B68" t="s">
        <v>120</v>
      </c>
      <c r="C68" t="s">
        <v>612</v>
      </c>
      <c r="D68" s="1" t="s">
        <v>782</v>
      </c>
      <c r="E68" t="s">
        <v>389</v>
      </c>
    </row>
    <row r="69" spans="1:5" hidden="1" x14ac:dyDescent="0.3">
      <c r="A69" s="3">
        <v>43976</v>
      </c>
      <c r="B69" t="s">
        <v>120</v>
      </c>
      <c r="C69" t="s">
        <v>612</v>
      </c>
      <c r="D69" s="1" t="s">
        <v>783</v>
      </c>
      <c r="E69" t="s">
        <v>389</v>
      </c>
    </row>
    <row r="70" spans="1:5" hidden="1" x14ac:dyDescent="0.3">
      <c r="A70" s="3">
        <v>43976</v>
      </c>
      <c r="B70" t="s">
        <v>120</v>
      </c>
      <c r="C70" t="s">
        <v>146</v>
      </c>
      <c r="D70" s="1" t="s">
        <v>730</v>
      </c>
    </row>
    <row r="71" spans="1:5" hidden="1" x14ac:dyDescent="0.3">
      <c r="A71" s="3">
        <v>43976</v>
      </c>
      <c r="B71" t="s">
        <v>120</v>
      </c>
      <c r="C71" t="s">
        <v>615</v>
      </c>
      <c r="D71" s="1" t="s">
        <v>616</v>
      </c>
    </row>
    <row r="72" spans="1:5" hidden="1" x14ac:dyDescent="0.3">
      <c r="A72" s="3">
        <v>43976</v>
      </c>
      <c r="B72" t="s">
        <v>120</v>
      </c>
      <c r="C72" t="s">
        <v>624</v>
      </c>
      <c r="D72" s="1" t="s">
        <v>625</v>
      </c>
      <c r="E72" t="s">
        <v>389</v>
      </c>
    </row>
    <row r="73" spans="1:5" hidden="1" x14ac:dyDescent="0.3">
      <c r="A73" s="3">
        <v>43976</v>
      </c>
      <c r="B73" t="s">
        <v>120</v>
      </c>
      <c r="C73" t="s">
        <v>626</v>
      </c>
      <c r="D73" s="1" t="s">
        <v>627</v>
      </c>
      <c r="E73" t="s">
        <v>389</v>
      </c>
    </row>
    <row r="74" spans="1:5" hidden="1" x14ac:dyDescent="0.3">
      <c r="A74" s="3">
        <v>43976</v>
      </c>
      <c r="B74" t="s">
        <v>120</v>
      </c>
      <c r="C74" t="s">
        <v>628</v>
      </c>
      <c r="D74" s="1" t="s">
        <v>629</v>
      </c>
      <c r="E74" t="s">
        <v>389</v>
      </c>
    </row>
    <row r="75" spans="1:5" hidden="1" x14ac:dyDescent="0.3">
      <c r="A75" s="3">
        <v>43976</v>
      </c>
      <c r="B75" t="s">
        <v>120</v>
      </c>
      <c r="C75" t="s">
        <v>630</v>
      </c>
      <c r="D75" s="1" t="s">
        <v>631</v>
      </c>
    </row>
    <row r="76" spans="1:5" hidden="1" x14ac:dyDescent="0.3">
      <c r="A76" s="3">
        <v>43978</v>
      </c>
      <c r="B76" t="s">
        <v>120</v>
      </c>
      <c r="C76" t="s">
        <v>343</v>
      </c>
      <c r="D76" s="1" t="s">
        <v>635</v>
      </c>
    </row>
    <row r="77" spans="1:5" hidden="1" x14ac:dyDescent="0.3">
      <c r="A77" s="3">
        <v>43978</v>
      </c>
      <c r="B77" t="s">
        <v>120</v>
      </c>
      <c r="C77" t="s">
        <v>626</v>
      </c>
      <c r="D77" s="1" t="s">
        <v>636</v>
      </c>
    </row>
    <row r="78" spans="1:5" hidden="1" x14ac:dyDescent="0.3">
      <c r="A78" s="3">
        <v>43982</v>
      </c>
      <c r="B78" t="s">
        <v>120</v>
      </c>
      <c r="C78" t="s">
        <v>501</v>
      </c>
      <c r="D78" s="1" t="s">
        <v>729</v>
      </c>
      <c r="E78" t="s">
        <v>389</v>
      </c>
    </row>
    <row r="79" spans="1:5" hidden="1" x14ac:dyDescent="0.3">
      <c r="A79" s="3">
        <v>43982</v>
      </c>
      <c r="B79" t="s">
        <v>120</v>
      </c>
      <c r="C79" t="s">
        <v>342</v>
      </c>
      <c r="D79" s="1" t="s">
        <v>731</v>
      </c>
    </row>
    <row r="80" spans="1:5" hidden="1" x14ac:dyDescent="0.3">
      <c r="A80" s="3">
        <v>43982</v>
      </c>
      <c r="B80" t="s">
        <v>120</v>
      </c>
      <c r="C80" t="s">
        <v>342</v>
      </c>
      <c r="D80" s="1" t="s">
        <v>732</v>
      </c>
    </row>
    <row r="81" spans="1:5" hidden="1" x14ac:dyDescent="0.3">
      <c r="A81" s="3">
        <v>43982</v>
      </c>
      <c r="B81" t="s">
        <v>120</v>
      </c>
      <c r="C81" t="s">
        <v>341</v>
      </c>
      <c r="D81" s="1" t="s">
        <v>733</v>
      </c>
      <c r="E81" t="s">
        <v>389</v>
      </c>
    </row>
    <row r="82" spans="1:5" hidden="1" x14ac:dyDescent="0.3">
      <c r="A82" s="3">
        <v>43987</v>
      </c>
      <c r="B82" t="s">
        <v>120</v>
      </c>
      <c r="C82" t="s">
        <v>749</v>
      </c>
      <c r="D82" s="1" t="s">
        <v>750</v>
      </c>
    </row>
    <row r="83" spans="1:5" hidden="1" x14ac:dyDescent="0.3">
      <c r="A83" s="3">
        <v>43987</v>
      </c>
      <c r="B83" t="s">
        <v>120</v>
      </c>
      <c r="C83" t="s">
        <v>749</v>
      </c>
      <c r="D83" s="1" t="s">
        <v>752</v>
      </c>
    </row>
    <row r="84" spans="1:5" hidden="1" x14ac:dyDescent="0.3">
      <c r="A84" s="3">
        <v>43987</v>
      </c>
      <c r="B84" t="s">
        <v>120</v>
      </c>
      <c r="C84" t="s">
        <v>749</v>
      </c>
      <c r="D84" s="1" t="s">
        <v>751</v>
      </c>
    </row>
    <row r="85" spans="1:5" hidden="1" x14ac:dyDescent="0.3">
      <c r="A85" s="3">
        <v>43987</v>
      </c>
      <c r="B85" t="s">
        <v>120</v>
      </c>
      <c r="C85" t="s">
        <v>749</v>
      </c>
      <c r="D85" s="1" t="s">
        <v>753</v>
      </c>
    </row>
    <row r="86" spans="1:5" hidden="1" x14ac:dyDescent="0.3">
      <c r="A86" s="3">
        <v>43987</v>
      </c>
      <c r="B86" t="s">
        <v>120</v>
      </c>
      <c r="C86" t="s">
        <v>754</v>
      </c>
      <c r="D86" s="1" t="s">
        <v>755</v>
      </c>
    </row>
    <row r="87" spans="1:5" hidden="1" x14ac:dyDescent="0.3">
      <c r="A87" s="3">
        <v>43988</v>
      </c>
      <c r="B87" t="s">
        <v>120</v>
      </c>
      <c r="C87" t="s">
        <v>756</v>
      </c>
      <c r="D87" s="1" t="s">
        <v>757</v>
      </c>
    </row>
    <row r="88" spans="1:5" hidden="1" x14ac:dyDescent="0.3">
      <c r="A88" s="3">
        <v>43990</v>
      </c>
      <c r="B88" t="s">
        <v>120</v>
      </c>
      <c r="C88" t="s">
        <v>749</v>
      </c>
      <c r="D88" s="1" t="s">
        <v>780</v>
      </c>
    </row>
    <row r="89" spans="1:5" hidden="1" x14ac:dyDescent="0.3">
      <c r="A89" s="3">
        <v>43992</v>
      </c>
      <c r="B89" t="s">
        <v>153</v>
      </c>
      <c r="C89" t="s">
        <v>503</v>
      </c>
      <c r="D89" s="1" t="s">
        <v>791</v>
      </c>
    </row>
    <row r="90" spans="1:5" hidden="1" x14ac:dyDescent="0.3">
      <c r="A90" s="3">
        <v>43992</v>
      </c>
      <c r="B90" t="s">
        <v>153</v>
      </c>
      <c r="C90" t="s">
        <v>756</v>
      </c>
      <c r="D90" s="1" t="s">
        <v>792</v>
      </c>
    </row>
    <row r="91" spans="1:5" hidden="1" x14ac:dyDescent="0.3">
      <c r="A91" s="3">
        <v>43999</v>
      </c>
      <c r="B91" t="s">
        <v>120</v>
      </c>
      <c r="C91" t="s">
        <v>406</v>
      </c>
      <c r="D91" s="1" t="s">
        <v>809</v>
      </c>
    </row>
    <row r="92" spans="1:5" hidden="1" x14ac:dyDescent="0.3">
      <c r="A92" s="3">
        <v>44000</v>
      </c>
      <c r="B92" t="s">
        <v>153</v>
      </c>
      <c r="C92" t="s">
        <v>349</v>
      </c>
      <c r="D92" s="1" t="s">
        <v>813</v>
      </c>
    </row>
    <row r="93" spans="1:5" hidden="1" x14ac:dyDescent="0.3">
      <c r="A93" s="3">
        <v>44001</v>
      </c>
      <c r="B93" t="s">
        <v>120</v>
      </c>
      <c r="C93" t="s">
        <v>349</v>
      </c>
      <c r="D93" s="1" t="s">
        <v>814</v>
      </c>
    </row>
    <row r="94" spans="1:5" hidden="1" x14ac:dyDescent="0.3">
      <c r="A94" s="3">
        <v>44003</v>
      </c>
      <c r="B94" t="s">
        <v>120</v>
      </c>
      <c r="C94" t="s">
        <v>849</v>
      </c>
      <c r="D94" s="1" t="s">
        <v>850</v>
      </c>
    </row>
    <row r="95" spans="1:5" hidden="1" x14ac:dyDescent="0.3">
      <c r="A95" s="3">
        <v>44003</v>
      </c>
      <c r="B95" t="s">
        <v>120</v>
      </c>
      <c r="C95" t="s">
        <v>335</v>
      </c>
      <c r="D95" s="1" t="s">
        <v>851</v>
      </c>
    </row>
    <row r="96" spans="1:5" hidden="1" x14ac:dyDescent="0.3">
      <c r="A96" s="3">
        <v>44011</v>
      </c>
      <c r="B96" t="s">
        <v>153</v>
      </c>
      <c r="C96" t="s">
        <v>852</v>
      </c>
      <c r="D96" s="1" t="s">
        <v>853</v>
      </c>
    </row>
    <row r="97" spans="1:5" hidden="1" x14ac:dyDescent="0.3">
      <c r="A97" s="3">
        <v>44019</v>
      </c>
      <c r="B97" t="s">
        <v>120</v>
      </c>
      <c r="C97" t="s">
        <v>342</v>
      </c>
      <c r="D97" s="1" t="s">
        <v>854</v>
      </c>
      <c r="E97" t="s">
        <v>860</v>
      </c>
    </row>
    <row r="98" spans="1:5" ht="28.8" hidden="1" x14ac:dyDescent="0.3">
      <c r="A98" s="3">
        <v>44027</v>
      </c>
      <c r="B98" t="s">
        <v>120</v>
      </c>
      <c r="C98" t="s">
        <v>342</v>
      </c>
      <c r="D98" s="1" t="s">
        <v>861</v>
      </c>
      <c r="E98" t="s">
        <v>860</v>
      </c>
    </row>
    <row r="99" spans="1:5" hidden="1" x14ac:dyDescent="0.3">
      <c r="A99" s="3">
        <v>44027</v>
      </c>
      <c r="B99" t="s">
        <v>857</v>
      </c>
      <c r="C99" t="s">
        <v>858</v>
      </c>
      <c r="D99" s="1" t="s">
        <v>859</v>
      </c>
      <c r="E99" t="s">
        <v>860</v>
      </c>
    </row>
    <row r="100" spans="1:5" x14ac:dyDescent="0.3">
      <c r="A100" s="3">
        <v>44507</v>
      </c>
      <c r="B100" t="s">
        <v>120</v>
      </c>
      <c r="C100" t="s">
        <v>288</v>
      </c>
      <c r="D100" s="1" t="s">
        <v>880</v>
      </c>
      <c r="E100" t="s">
        <v>870</v>
      </c>
    </row>
    <row r="101" spans="1:5" ht="28.8" x14ac:dyDescent="0.3">
      <c r="A101" s="3">
        <v>44507</v>
      </c>
      <c r="B101" t="s">
        <v>120</v>
      </c>
      <c r="C101" t="s">
        <v>288</v>
      </c>
      <c r="D101" s="1" t="s">
        <v>879</v>
      </c>
      <c r="E101" t="s">
        <v>878</v>
      </c>
    </row>
    <row r="102" spans="1:5" x14ac:dyDescent="0.3">
      <c r="A102" s="3">
        <v>44507</v>
      </c>
      <c r="B102" t="s">
        <v>120</v>
      </c>
      <c r="C102" t="s">
        <v>288</v>
      </c>
      <c r="D102" s="1" t="s">
        <v>871</v>
      </c>
      <c r="E102" t="s">
        <v>878</v>
      </c>
    </row>
    <row r="103" spans="1:5" x14ac:dyDescent="0.3">
      <c r="A103" s="3">
        <v>44507</v>
      </c>
      <c r="B103" t="s">
        <v>120</v>
      </c>
      <c r="C103" t="s">
        <v>288</v>
      </c>
      <c r="D103" s="1" t="s">
        <v>872</v>
      </c>
      <c r="E103" t="s">
        <v>878</v>
      </c>
    </row>
    <row r="104" spans="1:5" x14ac:dyDescent="0.3">
      <c r="A104" s="3">
        <v>44507</v>
      </c>
      <c r="B104" t="s">
        <v>120</v>
      </c>
      <c r="C104" t="s">
        <v>288</v>
      </c>
      <c r="D104" s="1" t="s">
        <v>873</v>
      </c>
      <c r="E104" t="s">
        <v>878</v>
      </c>
    </row>
    <row r="105" spans="1:5" x14ac:dyDescent="0.3">
      <c r="A105" s="3">
        <v>44507</v>
      </c>
      <c r="B105" t="s">
        <v>120</v>
      </c>
      <c r="C105" t="s">
        <v>288</v>
      </c>
      <c r="D105" s="1" t="s">
        <v>874</v>
      </c>
      <c r="E105" t="s">
        <v>878</v>
      </c>
    </row>
    <row r="106" spans="1:5" x14ac:dyDescent="0.3">
      <c r="A106" s="3">
        <v>44507</v>
      </c>
      <c r="B106" t="s">
        <v>120</v>
      </c>
      <c r="C106" t="s">
        <v>288</v>
      </c>
      <c r="D106" s="1" t="s">
        <v>875</v>
      </c>
      <c r="E106" t="s">
        <v>878</v>
      </c>
    </row>
    <row r="107" spans="1:5" x14ac:dyDescent="0.3">
      <c r="A107" s="3">
        <v>44507</v>
      </c>
      <c r="B107" t="s">
        <v>120</v>
      </c>
      <c r="C107" t="s">
        <v>288</v>
      </c>
      <c r="D107" s="1" t="s">
        <v>876</v>
      </c>
      <c r="E107" t="s">
        <v>878</v>
      </c>
    </row>
    <row r="108" spans="1:5" x14ac:dyDescent="0.3">
      <c r="A108" s="3">
        <v>44507</v>
      </c>
      <c r="B108" t="s">
        <v>120</v>
      </c>
      <c r="C108" t="s">
        <v>288</v>
      </c>
      <c r="D108" s="1" t="s">
        <v>877</v>
      </c>
      <c r="E108" t="s">
        <v>870</v>
      </c>
    </row>
  </sheetData>
  <pageMargins left="0.7" right="0.7" top="0.78740157499999996" bottom="0.78740157499999996"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3A7A2-8D6F-4E35-8C13-A662192A5C6A}">
  <sheetPr codeName="Tabelle6"/>
  <dimension ref="A1:C10"/>
  <sheetViews>
    <sheetView workbookViewId="0">
      <selection activeCell="A11" sqref="A11"/>
    </sheetView>
  </sheetViews>
  <sheetFormatPr defaultColWidth="11.44140625" defaultRowHeight="14.4" x14ac:dyDescent="0.3"/>
  <cols>
    <col min="1" max="1" width="16.33203125" customWidth="1"/>
    <col min="3" max="3" width="16.6640625" bestFit="1" customWidth="1"/>
  </cols>
  <sheetData>
    <row r="1" spans="1:3" x14ac:dyDescent="0.3">
      <c r="A1" t="s">
        <v>392</v>
      </c>
      <c r="C1" t="s">
        <v>141</v>
      </c>
    </row>
    <row r="2" spans="1:3" x14ac:dyDescent="0.3">
      <c r="A2" t="s">
        <v>6</v>
      </c>
      <c r="C2" t="s">
        <v>142</v>
      </c>
    </row>
    <row r="3" spans="1:3" x14ac:dyDescent="0.3">
      <c r="A3" t="s">
        <v>388</v>
      </c>
      <c r="C3" t="s">
        <v>395</v>
      </c>
    </row>
    <row r="4" spans="1:3" x14ac:dyDescent="0.3">
      <c r="A4" t="s">
        <v>234</v>
      </c>
    </row>
    <row r="5" spans="1:3" x14ac:dyDescent="0.3">
      <c r="A5" t="s">
        <v>4</v>
      </c>
    </row>
    <row r="6" spans="1:3" x14ac:dyDescent="0.3">
      <c r="A6" t="s">
        <v>239</v>
      </c>
    </row>
    <row r="7" spans="1:3" x14ac:dyDescent="0.3">
      <c r="A7" t="s">
        <v>233</v>
      </c>
    </row>
    <row r="8" spans="1:3" x14ac:dyDescent="0.3">
      <c r="A8" t="s">
        <v>393</v>
      </c>
    </row>
    <row r="9" spans="1:3" x14ac:dyDescent="0.3">
      <c r="A9" t="s">
        <v>394</v>
      </c>
    </row>
    <row r="10" spans="1:3" x14ac:dyDescent="0.3">
      <c r="A10" t="s">
        <v>487</v>
      </c>
    </row>
  </sheetData>
  <pageMargins left="0.7" right="0.7" top="0.78740157499999996" bottom="0.78740157499999996"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Overview</vt:lpstr>
      <vt:lpstr>Tables</vt:lpstr>
      <vt:lpstr>Fields</vt:lpstr>
      <vt:lpstr>Types</vt:lpstr>
      <vt:lpstr>Tasks</vt:lpstr>
      <vt:lpstr>Lists</vt:lpstr>
      <vt:lpstr>ContextBase</vt:lpstr>
      <vt:lpstr>DBContext</vt:lpstr>
      <vt:lpstr>FolderBusinessModel</vt:lpstr>
      <vt:lpstr>FolderEntityModel</vt:lpstr>
      <vt:lpstr>FolderScripts</vt:lpstr>
      <vt:lpstr>ListSQLTypes</vt:lpstr>
      <vt:lpstr>Namespace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Thorsten Hornung</dc:creator>
  <cp:lastModifiedBy>Raju</cp:lastModifiedBy>
  <dcterms:created xsi:type="dcterms:W3CDTF">2020-04-28T16:11:43Z</dcterms:created>
  <dcterms:modified xsi:type="dcterms:W3CDTF">2023-08-09T12:45:21Z</dcterms:modified>
</cp:coreProperties>
</file>