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defaultThemeVersion="166925"/>
  <mc:AlternateContent xmlns:mc="http://schemas.openxmlformats.org/markup-compatibility/2006">
    <mc:Choice Requires="x15">
      <x15ac:absPath xmlns:x15ac="http://schemas.microsoft.com/office/spreadsheetml/2010/11/ac" url="D:\Verum Project\Project\Verum-Git 19-09-2023\Saperatec\VerumDatabase\DataDictionary\"/>
    </mc:Choice>
  </mc:AlternateContent>
  <xr:revisionPtr revIDLastSave="0" documentId="13_ncr:1_{7A1079EE-A9B9-4BE7-B75E-D1B279947C31}" xr6:coauthVersionLast="47" xr6:coauthVersionMax="47" xr10:uidLastSave="{00000000-0000-0000-0000-000000000000}"/>
  <bookViews>
    <workbookView xWindow="-108" yWindow="-108" windowWidth="23256" windowHeight="13896" xr2:uid="{44421DB1-5133-4875-B38D-8CA24476C50F}"/>
  </bookViews>
  <sheets>
    <sheet name="Overview" sheetId="4" r:id="rId1"/>
    <sheet name="Tables" sheetId="2" r:id="rId2"/>
    <sheet name="Fields" sheetId="1" r:id="rId3"/>
    <sheet name="Types" sheetId="6" r:id="rId4"/>
    <sheet name="Tasks"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93" i="1" l="1"/>
  <c r="M92" i="1"/>
  <c r="M70" i="1"/>
  <c r="M69" i="1"/>
  <c r="M102" i="1"/>
  <c r="M101" i="1"/>
  <c r="M100" i="1"/>
  <c r="M91" i="1"/>
  <c r="M90" i="1"/>
  <c r="M68" i="1"/>
  <c r="M67" i="1"/>
  <c r="M66" i="1"/>
  <c r="M65" i="1"/>
  <c r="M89" i="1"/>
  <c r="M294" i="1"/>
  <c r="M88" i="1"/>
  <c r="M293" i="1"/>
  <c r="M99" i="1"/>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3" i="6"/>
  <c r="D2" i="6"/>
  <c r="M87" i="1" l="1"/>
  <c r="M86" i="1" l="1"/>
  <c r="M141" i="1" l="1"/>
  <c r="M10" i="1" l="1"/>
  <c r="M11" i="1"/>
  <c r="M16" i="1"/>
  <c r="M13" i="1"/>
  <c r="N21" i="1"/>
  <c r="M21" i="1"/>
  <c r="M27" i="1"/>
  <c r="M28" i="1"/>
  <c r="M29" i="1"/>
  <c r="M24" i="1"/>
  <c r="M22" i="1"/>
  <c r="M25" i="1"/>
  <c r="M30" i="1"/>
  <c r="H40" i="2"/>
  <c r="I40" i="2"/>
  <c r="H11" i="2"/>
  <c r="I11" i="2"/>
  <c r="H10" i="2"/>
  <c r="I10" i="2"/>
  <c r="M186" i="1" l="1"/>
  <c r="M81" i="1" l="1"/>
  <c r="M48" i="1"/>
  <c r="M240" i="1" l="1"/>
  <c r="M152" i="1" l="1"/>
  <c r="M246" i="1" l="1"/>
  <c r="M196" i="1" l="1"/>
  <c r="M197" i="1"/>
  <c r="M198" i="1"/>
  <c r="M83" i="1"/>
  <c r="N77" i="1"/>
  <c r="M77" i="1"/>
  <c r="M78" i="1"/>
  <c r="M79" i="1"/>
  <c r="N76" i="1"/>
  <c r="M76" i="1"/>
  <c r="N74" i="1"/>
  <c r="M74" i="1"/>
  <c r="N73" i="1"/>
  <c r="M73" i="1"/>
  <c r="M53" i="1"/>
  <c r="N53" i="1"/>
  <c r="M54" i="1"/>
  <c r="N54" i="1"/>
  <c r="M55" i="1"/>
  <c r="N55" i="1"/>
  <c r="M56" i="1"/>
  <c r="N56" i="1"/>
  <c r="M57" i="1"/>
  <c r="N57" i="1"/>
  <c r="M72" i="1" l="1"/>
  <c r="M80" i="1"/>
  <c r="M82" i="1"/>
  <c r="M37" i="1" l="1"/>
  <c r="M36" i="1"/>
  <c r="M123" i="1" l="1"/>
  <c r="M124" i="1"/>
  <c r="M125" i="1"/>
  <c r="M126" i="1"/>
  <c r="M127" i="1"/>
  <c r="M128" i="1"/>
  <c r="M129" i="1"/>
  <c r="M130" i="1"/>
  <c r="M131" i="1"/>
  <c r="M132" i="1"/>
  <c r="M133" i="1"/>
  <c r="M134" i="1"/>
  <c r="M135" i="1"/>
  <c r="D9" i="2"/>
  <c r="D8" i="2"/>
  <c r="H9" i="2"/>
  <c r="I9" i="2"/>
  <c r="H8" i="2"/>
  <c r="I8" i="2"/>
  <c r="M313" i="1"/>
  <c r="M314" i="1"/>
  <c r="M264" i="1" l="1"/>
  <c r="M263" i="1"/>
  <c r="M262" i="1"/>
  <c r="M261" i="1"/>
  <c r="M43" i="1" l="1"/>
  <c r="M20" i="1" l="1"/>
  <c r="M17" i="1"/>
  <c r="M18" i="1"/>
  <c r="M19" i="1"/>
  <c r="M38" i="1" l="1"/>
  <c r="M98" i="1"/>
  <c r="M42" i="1"/>
  <c r="M41" i="1"/>
  <c r="M40" i="1"/>
  <c r="M243" i="1" l="1"/>
  <c r="M218" i="1" l="1"/>
  <c r="M250" i="1"/>
  <c r="M257" i="1"/>
  <c r="M166" i="1"/>
  <c r="N166" i="1"/>
  <c r="Q166" i="1"/>
  <c r="M244" i="1" l="1"/>
  <c r="N213" i="1" l="1"/>
  <c r="M245" i="1"/>
  <c r="Q239" i="1"/>
  <c r="N239" i="1"/>
  <c r="M239" i="1"/>
  <c r="M242" i="1"/>
  <c r="M241" i="1"/>
  <c r="M238" i="1"/>
  <c r="M237" i="1"/>
  <c r="N236" i="1"/>
  <c r="M236" i="1"/>
  <c r="M249" i="1"/>
  <c r="M255" i="1"/>
  <c r="M248" i="1"/>
  <c r="N247" i="1"/>
  <c r="M247" i="1"/>
  <c r="H32" i="2"/>
  <c r="I32" i="2"/>
  <c r="I30" i="2"/>
  <c r="H30" i="2"/>
  <c r="N251" i="1"/>
  <c r="M251" i="1"/>
  <c r="N258" i="1"/>
  <c r="M258" i="1"/>
  <c r="Q253" i="1"/>
  <c r="N253" i="1"/>
  <c r="M253" i="1"/>
  <c r="M254" i="1"/>
  <c r="M256" i="1"/>
  <c r="M272" i="1"/>
  <c r="M271" i="1"/>
  <c r="M270" i="1"/>
  <c r="M269" i="1"/>
  <c r="M268" i="1"/>
  <c r="M267" i="1"/>
  <c r="M266" i="1"/>
  <c r="M265" i="1"/>
  <c r="M260" i="1"/>
  <c r="M259" i="1"/>
  <c r="M252" i="1"/>
  <c r="Q213" i="1"/>
  <c r="Q212" i="1"/>
  <c r="N212" i="1"/>
  <c r="M215" i="1"/>
  <c r="M214" i="1"/>
  <c r="M213" i="1"/>
  <c r="M212" i="1"/>
  <c r="Q211" i="1"/>
  <c r="N211" i="1"/>
  <c r="M211" i="1"/>
  <c r="Q210" i="1"/>
  <c r="N210" i="1"/>
  <c r="M210" i="1"/>
  <c r="H31" i="2"/>
  <c r="I31" i="2"/>
  <c r="H29" i="2"/>
  <c r="I29" i="2"/>
  <c r="H36" i="2"/>
  <c r="I36" i="2"/>
  <c r="D4" i="6" l="1"/>
  <c r="M229" i="1" l="1"/>
  <c r="M228" i="1"/>
  <c r="M185" i="1"/>
  <c r="M184" i="1"/>
  <c r="M183" i="1"/>
  <c r="M182" i="1"/>
  <c r="M181" i="1"/>
  <c r="M226" i="1"/>
  <c r="M225" i="1"/>
  <c r="M224" i="1"/>
  <c r="M223" i="1"/>
  <c r="M222" i="1"/>
  <c r="M221" i="1"/>
  <c r="M220" i="1"/>
  <c r="M219" i="1"/>
  <c r="M227" i="1"/>
  <c r="M180" i="1"/>
  <c r="M179" i="1"/>
  <c r="M178" i="1"/>
  <c r="M175" i="1"/>
  <c r="M177" i="1"/>
  <c r="M176" i="1"/>
  <c r="M174" i="1"/>
  <c r="M173" i="1"/>
  <c r="N229" i="1"/>
  <c r="N228" i="1"/>
  <c r="Q185" i="1"/>
  <c r="N185" i="1"/>
  <c r="N184" i="1"/>
  <c r="N183" i="1"/>
  <c r="N182" i="1"/>
  <c r="N181" i="1"/>
  <c r="N226" i="1"/>
  <c r="N225" i="1"/>
  <c r="N224" i="1"/>
  <c r="N223" i="1"/>
  <c r="N222" i="1"/>
  <c r="N221" i="1"/>
  <c r="N220" i="1"/>
  <c r="N219" i="1"/>
  <c r="Q227" i="1"/>
  <c r="N227" i="1"/>
  <c r="Q180" i="1"/>
  <c r="N180" i="1"/>
  <c r="Q179" i="1"/>
  <c r="N179" i="1"/>
  <c r="Q178" i="1"/>
  <c r="N178" i="1"/>
  <c r="Q175" i="1"/>
  <c r="N175" i="1"/>
  <c r="N177" i="1"/>
  <c r="Q176" i="1"/>
  <c r="N176" i="1"/>
  <c r="Q174" i="1"/>
  <c r="N174" i="1"/>
  <c r="Q173" i="1"/>
  <c r="N173" i="1"/>
  <c r="I35" i="2"/>
  <c r="H35" i="2"/>
  <c r="M154" i="1" l="1"/>
  <c r="M155" i="1"/>
  <c r="M156" i="1"/>
  <c r="M157" i="1"/>
  <c r="M158" i="1"/>
  <c r="M159" i="1"/>
  <c r="M160" i="1"/>
  <c r="M108" i="1" l="1"/>
  <c r="M106" i="1"/>
  <c r="M234" i="1"/>
  <c r="M235" i="1"/>
  <c r="N193" i="1" l="1"/>
  <c r="M193" i="1"/>
  <c r="M153" i="1" l="1"/>
  <c r="Q192" i="1"/>
  <c r="N192" i="1"/>
  <c r="M192" i="1"/>
  <c r="M312" i="1" l="1"/>
  <c r="M303" i="1"/>
  <c r="M302" i="1"/>
  <c r="H7" i="2"/>
  <c r="I7" i="2"/>
  <c r="M311" i="1"/>
  <c r="M310" i="1"/>
  <c r="M309" i="1"/>
  <c r="M308" i="1"/>
  <c r="H6" i="2"/>
  <c r="I6" i="2"/>
  <c r="M114" i="1" l="1"/>
  <c r="M113" i="1"/>
  <c r="N113" i="1"/>
  <c r="Q113" i="1"/>
  <c r="Q111" i="1"/>
  <c r="N111" i="1"/>
  <c r="M111" i="1"/>
  <c r="Q117" i="1" l="1"/>
  <c r="N117" i="1"/>
  <c r="M117" i="1"/>
  <c r="Q209" i="1"/>
  <c r="N209" i="1"/>
  <c r="M209" i="1"/>
  <c r="M322" i="1" l="1"/>
  <c r="M318" i="1"/>
  <c r="M306" i="1" l="1"/>
  <c r="N304" i="1"/>
  <c r="M304" i="1"/>
  <c r="M305" i="1"/>
  <c r="H4" i="2"/>
  <c r="I4" i="2"/>
  <c r="N201" i="1" l="1"/>
  <c r="N277" i="1"/>
  <c r="M277" i="1"/>
  <c r="N276" i="1"/>
  <c r="M276" i="1"/>
  <c r="N275" i="1"/>
  <c r="M275" i="1"/>
  <c r="N274" i="1"/>
  <c r="M274" i="1"/>
  <c r="N273" i="1"/>
  <c r="M273" i="1"/>
  <c r="H24" i="2"/>
  <c r="I24" i="2"/>
  <c r="M151" i="1"/>
  <c r="H28" i="2" l="1"/>
  <c r="I28" i="2"/>
  <c r="N325" i="1" l="1"/>
  <c r="N324" i="1"/>
  <c r="N323" i="1"/>
  <c r="N321" i="1"/>
  <c r="N320" i="1"/>
  <c r="N319" i="1"/>
  <c r="N317" i="1"/>
  <c r="N316" i="1"/>
  <c r="N315" i="1"/>
  <c r="N301" i="1"/>
  <c r="N300" i="1"/>
  <c r="N299" i="1"/>
  <c r="N298" i="1"/>
  <c r="N297" i="1"/>
  <c r="N296" i="1"/>
  <c r="N295" i="1"/>
  <c r="N292" i="1"/>
  <c r="N291" i="1"/>
  <c r="N290" i="1"/>
  <c r="N289" i="1"/>
  <c r="N288" i="1"/>
  <c r="N287" i="1"/>
  <c r="N286" i="1"/>
  <c r="N285" i="1"/>
  <c r="N284" i="1"/>
  <c r="N283" i="1"/>
  <c r="N282" i="1"/>
  <c r="N281" i="1"/>
  <c r="N280" i="1"/>
  <c r="N279" i="1"/>
  <c r="N278" i="1"/>
  <c r="N233" i="1"/>
  <c r="N232" i="1"/>
  <c r="N307" i="1"/>
  <c r="N115" i="1"/>
  <c r="N112" i="1"/>
  <c r="N231" i="1"/>
  <c r="N230" i="1"/>
  <c r="N217" i="1"/>
  <c r="N216" i="1"/>
  <c r="N172" i="1"/>
  <c r="N171" i="1"/>
  <c r="N170" i="1"/>
  <c r="N169" i="1"/>
  <c r="N168" i="1"/>
  <c r="N167" i="1"/>
  <c r="N165" i="1"/>
  <c r="N164" i="1"/>
  <c r="N208" i="1"/>
  <c r="N207" i="1"/>
  <c r="N206" i="1"/>
  <c r="N205" i="1"/>
  <c r="N204" i="1"/>
  <c r="N203" i="1"/>
  <c r="N202" i="1"/>
  <c r="N200" i="1"/>
  <c r="N199" i="1"/>
  <c r="N195" i="1"/>
  <c r="N194" i="1"/>
  <c r="N191" i="1"/>
  <c r="N190" i="1"/>
  <c r="N189" i="1"/>
  <c r="N188" i="1"/>
  <c r="N187" i="1"/>
  <c r="N163" i="1"/>
  <c r="N162" i="1"/>
  <c r="N161" i="1"/>
  <c r="N150" i="1"/>
  <c r="N149" i="1"/>
  <c r="N148" i="1"/>
  <c r="N147" i="1"/>
  <c r="N146" i="1"/>
  <c r="N144" i="1"/>
  <c r="N143" i="1"/>
  <c r="N142" i="1"/>
  <c r="N140" i="1"/>
  <c r="N139" i="1"/>
  <c r="N138" i="1"/>
  <c r="N137" i="1"/>
  <c r="N136" i="1"/>
  <c r="N122" i="1"/>
  <c r="N121" i="1"/>
  <c r="N120" i="1"/>
  <c r="N119" i="1"/>
  <c r="N118" i="1"/>
  <c r="N116" i="1"/>
  <c r="N110" i="1"/>
  <c r="N109" i="1"/>
  <c r="N107" i="1"/>
  <c r="N105" i="1"/>
  <c r="N104" i="1"/>
  <c r="N103" i="1"/>
  <c r="N97" i="1"/>
  <c r="N96" i="1"/>
  <c r="N95" i="1"/>
  <c r="N94" i="1"/>
  <c r="N85" i="1"/>
  <c r="N84" i="1"/>
  <c r="N75" i="1"/>
  <c r="N71" i="1"/>
  <c r="N64" i="1"/>
  <c r="N63" i="1"/>
  <c r="N62" i="1"/>
  <c r="N61" i="1"/>
  <c r="N60" i="1"/>
  <c r="N59" i="1"/>
  <c r="N58" i="1"/>
  <c r="N52" i="1"/>
  <c r="N51" i="1"/>
  <c r="N50" i="1"/>
  <c r="N49" i="1"/>
  <c r="N47" i="1"/>
  <c r="N46" i="1"/>
  <c r="N45" i="1"/>
  <c r="N44" i="1"/>
  <c r="N39" i="1"/>
  <c r="N35" i="1"/>
  <c r="N34" i="1"/>
  <c r="N33" i="1"/>
  <c r="N32" i="1"/>
  <c r="N31" i="1"/>
  <c r="N15" i="1"/>
  <c r="N14" i="1"/>
  <c r="N9" i="1"/>
  <c r="N8" i="1"/>
  <c r="N7" i="1"/>
  <c r="N6" i="1"/>
  <c r="N5" i="1"/>
  <c r="N4" i="1"/>
  <c r="N3" i="1"/>
  <c r="M325" i="1" l="1"/>
  <c r="M324" i="1"/>
  <c r="M323" i="1"/>
  <c r="M321" i="1"/>
  <c r="M320" i="1"/>
  <c r="M319" i="1"/>
  <c r="M317" i="1"/>
  <c r="M316" i="1"/>
  <c r="M315" i="1"/>
  <c r="M301" i="1"/>
  <c r="M300" i="1"/>
  <c r="M299" i="1"/>
  <c r="M298" i="1"/>
  <c r="M297" i="1"/>
  <c r="M296" i="1"/>
  <c r="M295" i="1"/>
  <c r="M292" i="1"/>
  <c r="M291" i="1"/>
  <c r="M290" i="1"/>
  <c r="M289" i="1"/>
  <c r="M288" i="1"/>
  <c r="M287" i="1"/>
  <c r="M286" i="1"/>
  <c r="M285" i="1"/>
  <c r="M284" i="1"/>
  <c r="M283" i="1"/>
  <c r="M282" i="1"/>
  <c r="M281" i="1"/>
  <c r="M280" i="1"/>
  <c r="M279" i="1"/>
  <c r="M278" i="1"/>
  <c r="M233" i="1"/>
  <c r="M232" i="1"/>
  <c r="M307" i="1"/>
  <c r="M115" i="1"/>
  <c r="M112" i="1"/>
  <c r="M231" i="1"/>
  <c r="M230" i="1"/>
  <c r="M217" i="1"/>
  <c r="M216" i="1"/>
  <c r="M172" i="1"/>
  <c r="M171" i="1"/>
  <c r="M170" i="1"/>
  <c r="M169" i="1"/>
  <c r="M168" i="1"/>
  <c r="M167" i="1"/>
  <c r="M165" i="1"/>
  <c r="M164" i="1"/>
  <c r="M208" i="1"/>
  <c r="M207" i="1"/>
  <c r="M206" i="1"/>
  <c r="M205" i="1"/>
  <c r="M204" i="1"/>
  <c r="M203" i="1"/>
  <c r="M202" i="1"/>
  <c r="M201" i="1"/>
  <c r="M200" i="1"/>
  <c r="M199" i="1"/>
  <c r="M195" i="1"/>
  <c r="M194" i="1"/>
  <c r="M191" i="1"/>
  <c r="M190" i="1"/>
  <c r="M189" i="1"/>
  <c r="M188" i="1"/>
  <c r="M187" i="1"/>
  <c r="M163" i="1"/>
  <c r="M162" i="1"/>
  <c r="M161" i="1"/>
  <c r="M150" i="1"/>
  <c r="M149" i="1"/>
  <c r="M148" i="1"/>
  <c r="M147" i="1"/>
  <c r="M146" i="1"/>
  <c r="M144" i="1"/>
  <c r="M143" i="1"/>
  <c r="M142" i="1"/>
  <c r="M140" i="1"/>
  <c r="M139" i="1"/>
  <c r="M138" i="1"/>
  <c r="M137" i="1"/>
  <c r="M136" i="1"/>
  <c r="M122" i="1"/>
  <c r="M121" i="1"/>
  <c r="M120" i="1"/>
  <c r="M119" i="1"/>
  <c r="M118" i="1"/>
  <c r="M116" i="1"/>
  <c r="M110" i="1"/>
  <c r="M109" i="1"/>
  <c r="M107" i="1"/>
  <c r="M105" i="1"/>
  <c r="M104" i="1"/>
  <c r="M103" i="1"/>
  <c r="M97" i="1"/>
  <c r="M96" i="1"/>
  <c r="M95" i="1"/>
  <c r="M94" i="1"/>
  <c r="M85" i="1"/>
  <c r="M84" i="1"/>
  <c r="M75" i="1"/>
  <c r="M71" i="1"/>
  <c r="M64" i="1"/>
  <c r="M63" i="1"/>
  <c r="M62" i="1"/>
  <c r="M61" i="1"/>
  <c r="M60" i="1"/>
  <c r="M59" i="1"/>
  <c r="M58" i="1"/>
  <c r="M52" i="1"/>
  <c r="M51" i="1"/>
  <c r="M50" i="1"/>
  <c r="M49" i="1"/>
  <c r="M47" i="1"/>
  <c r="M46" i="1"/>
  <c r="M45" i="1"/>
  <c r="M44" i="1"/>
  <c r="M39" i="1"/>
  <c r="M35" i="1"/>
  <c r="M34" i="1"/>
  <c r="M33" i="1"/>
  <c r="M32" i="1"/>
  <c r="M31" i="1"/>
  <c r="M15" i="1"/>
  <c r="M14" i="1"/>
  <c r="M9" i="1"/>
  <c r="M8" i="1"/>
  <c r="M7" i="1"/>
  <c r="M6" i="1"/>
  <c r="M5" i="1"/>
  <c r="M4" i="1"/>
  <c r="M3" i="1"/>
  <c r="H3" i="2" l="1"/>
  <c r="H2" i="2"/>
  <c r="H5" i="2"/>
  <c r="H14" i="2"/>
  <c r="H13" i="2"/>
  <c r="H12" i="2"/>
  <c r="H15" i="2"/>
  <c r="H16" i="2"/>
  <c r="H17" i="2"/>
  <c r="H18" i="2"/>
  <c r="H19" i="2"/>
  <c r="H20" i="2"/>
  <c r="H21" i="2"/>
  <c r="H23" i="2"/>
  <c r="H22" i="2"/>
  <c r="H27" i="2"/>
  <c r="H33" i="2"/>
  <c r="H25" i="2"/>
  <c r="H26" i="2"/>
  <c r="H37" i="2"/>
  <c r="H34" i="2"/>
  <c r="H38" i="2"/>
  <c r="H39" i="2"/>
  <c r="I3" i="2"/>
  <c r="I2" i="2"/>
  <c r="I5" i="2"/>
  <c r="I14" i="2"/>
  <c r="I13" i="2"/>
  <c r="I12" i="2"/>
  <c r="I15" i="2"/>
  <c r="I16" i="2"/>
  <c r="I17" i="2"/>
  <c r="I18" i="2"/>
  <c r="I19" i="2"/>
  <c r="I20" i="2"/>
  <c r="I21" i="2"/>
  <c r="I23" i="2"/>
  <c r="I22" i="2"/>
  <c r="I27" i="2"/>
  <c r="I33" i="2"/>
  <c r="I25" i="2"/>
  <c r="I26" i="2"/>
  <c r="I37" i="2"/>
  <c r="I34" i="2"/>
  <c r="I38" i="2"/>
  <c r="I39" i="2"/>
  <c r="Q63" i="1" l="1"/>
  <c r="Q307" i="1" l="1"/>
  <c r="Q112" i="1"/>
  <c r="Q170" i="1"/>
  <c r="Q317" i="1"/>
  <c r="Q316" i="1"/>
  <c r="Q287" i="1"/>
  <c r="Q286" i="1"/>
  <c r="Q232" i="1"/>
  <c r="Q217" i="1"/>
  <c r="Q216" i="1"/>
  <c r="Q168" i="1"/>
  <c r="Q165" i="1"/>
  <c r="Q164" i="1"/>
  <c r="Q203" i="1"/>
  <c r="Q202" i="1"/>
  <c r="Q201" i="1"/>
  <c r="Q200" i="1"/>
  <c r="Q195" i="1"/>
  <c r="Q194" i="1"/>
  <c r="Q191" i="1"/>
  <c r="Q189" i="1"/>
  <c r="Q188" i="1"/>
  <c r="Q187" i="1"/>
  <c r="Q161" i="1"/>
  <c r="Q147" i="1"/>
  <c r="Q146" i="1"/>
  <c r="Q145" i="1"/>
  <c r="Q144" i="1"/>
  <c r="Q137" i="1"/>
  <c r="Q136" i="1"/>
  <c r="Q118" i="1"/>
  <c r="Q116" i="1"/>
  <c r="Q95" i="1"/>
  <c r="Q75" i="1"/>
  <c r="Q71" i="1"/>
  <c r="Q58" i="1"/>
  <c r="Q52" i="1"/>
  <c r="Q51" i="1"/>
  <c r="Q50" i="1"/>
  <c r="Q49" i="1"/>
  <c r="Q44" i="1"/>
  <c r="Q31" i="1"/>
  <c r="Q12" i="1"/>
  <c r="Q4" i="1"/>
  <c r="Q3" i="1"/>
</calcChain>
</file>

<file path=xl/sharedStrings.xml><?xml version="1.0" encoding="utf-8"?>
<sst xmlns="http://schemas.openxmlformats.org/spreadsheetml/2006/main" count="2864" uniqueCount="916">
  <si>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</si>
  <si>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</si>
  <si>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</si>
  <si>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</si>
  <si>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</si>
  <si>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</si>
  <si>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</si>
  <si>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</si>
  <si>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</si>
  <si>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</si>
  <si>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</si>
  <si>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</si>
  <si>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</si>
  <si>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</si>
  <si>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</si>
  <si>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</si>
  <si>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</si>
  <si>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</si>
  <si>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</si>
  <si>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</si>
  <si>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</si>
  <si>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</si>
  <si>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</si>
  <si>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</si>
  <si>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</si>
  <si>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</si>
  <si>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</si>
  <si>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</si>
  <si>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</si>
  <si>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</si>
  <si>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</si>
  <si>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</si>
  <si>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</si>
  <si>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</si>
  <si>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</si>
  <si>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</si>
  <si>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</si>
  <si>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</si>
  <si>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</si>
  <si>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</si>
  <si>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</si>
  <si>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</si>
  <si>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</si>
  <si>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</si>
  <si>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</si>
  <si>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</si>
  <si>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</si>
  <si>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</si>
  <si>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</si>
  <si>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</si>
  <si>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</si>
  <si>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</si>
  <si>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</si>
  <si>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</si>
  <si>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</si>
  <si>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</si>
  <si>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</si>
  <si>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</si>
  <si>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</si>
  <si>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</si>
  <si>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</si>
  <si>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</si>
  <si>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</si>
  <si>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</si>
  <si>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</si>
  <si>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</si>
  <si>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</si>
  <si>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</si>
  <si>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</si>
  <si>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</si>
  <si>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</si>
  <si>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</si>
  <si>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</si>
  <si>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</si>
  <si>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</si>
  <si>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</si>
  <si>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</si>
  <si>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</si>
  <si>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</si>
  <si>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</si>
  <si>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</si>
  <si>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</si>
  <si>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</si>
  <si>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</si>
  <si>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</si>
  <si>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</si>
  <si>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</si>
  <si>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</si>
  <si>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</si>
  <si>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</si>
  <si>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</si>
  <si>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</si>
  <si>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</si>
  <si>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</si>
  <si>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</si>
  <si>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</si>
  <si>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</si>
  <si>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</si>
  <si>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</si>
  <si>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</si>
  <si>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</si>
  <si>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</si>
  <si>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</si>
  <si>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</si>
  <si>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</si>
  <si>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</si>
  <si>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</si>
  <si>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</si>
  <si>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</si>
  <si>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</si>
  <si>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</si>
  <si>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</si>
  <si>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</si>
  <si>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</si>
  <si>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</si>
  <si>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</si>
  <si>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</si>
  <si>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</si>
  <si>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</si>
  <si>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</si>
  <si>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</si>
  <si>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</si>
  <si>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</si>
  <si>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</si>
  <si>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</si>
  <si>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</si>
  <si>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</si>
  <si>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</si>
  <si>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</si>
  <si>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</si>
  <si>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</si>
  <si>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</si>
  <si>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</si>
  <si>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</si>
  <si>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</si>
  <si>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</si>
  <si>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</si>
  <si>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</si>
  <si>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</si>
  <si>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</si>
  <si>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</si>
  <si>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</si>
  <si>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</si>
  <si>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</si>
  <si>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</si>
  <si>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</si>
  <si>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</si>
  <si>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</si>
  <si>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</si>
  <si>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</si>
  <si>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</si>
  <si>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</si>
  <si>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</si>
  <si>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</si>
  <si>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</si>
  <si>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</si>
  <si>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</si>
  <si>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</si>
  <si>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</si>
  <si>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</si>
  <si>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</si>
  <si>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</si>
  <si>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</si>
  <si>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</si>
  <si>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</si>
  <si>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</si>
  <si>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</si>
  <si>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</si>
  <si>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</si>
  <si>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</si>
  <si>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</si>
  <si>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</si>
  <si>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</si>
  <si>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</si>
  <si>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</si>
  <si>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</si>
  <si>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</si>
  <si>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</si>
  <si>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</si>
  <si>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</si>
  <si>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</si>
  <si>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</si>
  <si>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</si>
  <si>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</si>
  <si>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</si>
  <si>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</si>
  <si>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</si>
  <si>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</si>
  <si>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</si>
  <si>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</si>
  <si>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</si>
  <si>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</si>
  <si>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</si>
  <si>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</si>
  <si>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</si>
  <si>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</si>
  <si>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</si>
  <si>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idPlanElementInstance</t>
  </si>
  <si>
    <t>Amount</t>
  </si>
  <si>
    <t>StartOfBusinessYear</t>
  </si>
  <si>
    <t>Start of business year in calendar month - defaults to 1 (Jan 1st)</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</si>
  <si>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</si>
  <si>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</si>
  <si>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</si>
  <si>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</si>
  <si>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</si>
  <si>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</si>
  <si>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</si>
  <si>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</si>
  <si>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</si>
  <si>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</si>
  <si>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</si>
  <si>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</si>
  <si>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</si>
  <si>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</si>
  <si>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</si>
  <si>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</si>
  <si>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</si>
  <si>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</si>
  <si>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</si>
  <si>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</si>
  <si>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</si>
  <si>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</si>
  <si>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</si>
  <si>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</si>
  <si>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</si>
  <si>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</si>
  <si>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</si>
  <si>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</si>
  <si>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</si>
  <si>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</si>
  <si>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</si>
  <si>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</si>
  <si>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</si>
  <si>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</si>
  <si>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</si>
  <si>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</si>
  <si>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</si>
  <si>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</si>
  <si>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</si>
  <si>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</si>
  <si>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</si>
  <si>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</si>
  <si>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</si>
  <si>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</si>
  <si>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</si>
  <si>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</si>
  <si>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</si>
  <si>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</si>
  <si>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</si>
  <si>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</si>
  <si>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</si>
  <si>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</si>
  <si>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</si>
  <si>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</si>
  <si>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</si>
  <si>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</si>
  <si>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</si>
  <si>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</si>
  <si>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</si>
  <si>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</si>
  <si>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</si>
  <si>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</si>
  <si>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</si>
  <si>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</si>
  <si>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</si>
  <si>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</si>
  <si>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</si>
  <si>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</si>
  <si>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</si>
  <si>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</si>
  <si>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</si>
  <si>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</si>
  <si>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</si>
  <si>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</si>
  <si>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</si>
  <si>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</si>
  <si>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</si>
  <si>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</si>
  <si>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</si>
  <si>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</si>
  <si>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</si>
  <si>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</si>
  <si>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</si>
  <si>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</si>
  <si>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</si>
  <si>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</si>
  <si>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</si>
  <si>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</si>
  <si>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</si>
  <si>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</si>
  <si>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</si>
  <si>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</si>
  <si>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</si>
  <si>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</si>
  <si>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</si>
  <si>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</si>
  <si>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</si>
  <si>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</si>
  <si>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</si>
  <si>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</si>
  <si>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</si>
  <si>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</si>
  <si>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</si>
  <si>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</si>
  <si>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</si>
  <si>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</si>
  <si>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</si>
  <si>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</si>
  <si>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</si>
  <si>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</si>
  <si>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</si>
  <si>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</si>
  <si>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</si>
  <si>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</si>
  <si>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</si>
  <si>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</si>
  <si>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</si>
  <si>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</si>
  <si>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</si>
  <si>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</si>
  <si>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</si>
  <si>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</si>
  <si>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</si>
  <si>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</si>
  <si>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</si>
  <si>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</si>
  <si>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</si>
  <si>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</si>
  <si>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</si>
  <si>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</si>
  <si>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</si>
  <si>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</si>
  <si>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</si>
  <si>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</si>
  <si>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</si>
  <si>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</si>
  <si>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</si>
  <si>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</si>
  <si>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</si>
  <si>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</si>
  <si>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</si>
  <si>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</si>
  <si>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</si>
  <si>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</si>
  <si>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</si>
  <si>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</si>
  <si>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</si>
  <si>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</si>
  <si>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</si>
  <si>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</si>
  <si>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</si>
  <si>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</si>
  <si>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</si>
  <si>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</si>
  <si>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</si>
  <si>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</si>
  <si>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</si>
  <si>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</si>
  <si>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</si>
  <si>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</si>
  <si>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</si>
  <si>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</si>
  <si>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</si>
  <si>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</si>
  <si>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</si>
  <si>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</si>
  <si>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</si>
  <si>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</si>
  <si>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</si>
  <si>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</si>
  <si>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</si>
  <si>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Range Name</t>
  </si>
  <si>
    <t>Namespace</t>
  </si>
  <si>
    <t>VerumBusinessObjects</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</si>
  <si>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</si>
  <si>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</si>
  <si>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</si>
  <si>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</si>
  <si>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</si>
  <si>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</si>
  <si>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</si>
  <si>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</si>
  <si>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</si>
  <si>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</si>
  <si>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</si>
  <si>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</si>
  <si>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</si>
  <si>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</si>
  <si>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</si>
  <si>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</si>
  <si>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</si>
  <si>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</si>
  <si>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</si>
  <si>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</si>
  <si>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</si>
  <si>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</si>
  <si>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</si>
  <si>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</si>
  <si>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</si>
  <si>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</si>
  <si>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</si>
  <si>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</si>
  <si>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</si>
  <si>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</si>
  <si>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</si>
  <si>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</si>
  <si>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</si>
  <si>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</si>
  <si>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</si>
  <si>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</si>
  <si>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</si>
  <si>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</si>
  <si>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</si>
  <si>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</si>
  <si>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</si>
  <si>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</si>
  <si>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</si>
  <si>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</si>
  <si>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</si>
  <si>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</si>
  <si>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</si>
  <si>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</si>
  <si>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</si>
  <si>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</si>
  <si>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</si>
  <si>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</si>
  <si>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</si>
  <si>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</si>
  <si>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</si>
  <si>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</si>
  <si>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</si>
  <si>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</si>
  <si>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</si>
  <si>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</si>
  <si>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</si>
  <si>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</si>
  <si>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</si>
  <si>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</si>
  <si>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</si>
  <si>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</si>
  <si>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</si>
  <si>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</si>
  <si>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</si>
  <si>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</si>
  <si>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</si>
  <si>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</si>
  <si>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</si>
  <si>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</si>
  <si>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</si>
  <si>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</si>
  <si>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</si>
  <si>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</si>
  <si>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</si>
  <si>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</si>
  <si>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</si>
  <si>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</si>
  <si>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</si>
  <si>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</si>
  <si>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</si>
  <si>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</si>
  <si>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</si>
  <si>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</si>
  <si>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</si>
  <si>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</si>
  <si>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</si>
  <si>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</si>
  <si>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</si>
  <si>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</si>
  <si>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</si>
  <si>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</si>
  <si>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</si>
  <si>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</si>
  <si>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</si>
  <si>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</si>
  <si>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</si>
  <si>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</si>
  <si>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</si>
  <si>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</si>
  <si>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</si>
  <si>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</si>
  <si>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</si>
  <si>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</si>
  <si>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</si>
  <si>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</si>
  <si>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</si>
  <si>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</si>
  <si>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</si>
  <si>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</si>
  <si>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</si>
  <si>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</si>
  <si>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</si>
  <si>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</si>
  <si>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</si>
  <si>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</si>
  <si>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</si>
  <si>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</si>
  <si>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</si>
  <si>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</si>
  <si>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</si>
  <si>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</si>
  <si>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</si>
  <si>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</si>
  <si>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</si>
  <si>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</si>
  <si>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</si>
  <si>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</si>
  <si>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</si>
  <si>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</si>
  <si>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</si>
  <si>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</si>
  <si>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</si>
  <si>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</si>
  <si>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</si>
  <si>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</si>
  <si>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</si>
  <si>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</si>
  <si>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</si>
  <si>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</si>
  <si>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</si>
  <si>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</si>
  <si>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</si>
  <si>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</si>
  <si>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</si>
  <si>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</si>
  <si>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</si>
  <si>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</si>
  <si>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</si>
  <si>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</si>
  <si>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</si>
  <si>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</si>
  <si>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</si>
  <si>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</si>
  <si>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</si>
  <si>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</si>
  <si>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</si>
  <si>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</si>
  <si>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</si>
  <si>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</si>
  <si>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</si>
  <si>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</si>
  <si>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</si>
  <si>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</si>
  <si>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</si>
  <si>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</si>
  <si>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</si>
  <si>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</si>
  <si>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</si>
  <si>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</si>
  <si>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</si>
  <si>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</si>
  <si>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</si>
  <si>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</si>
  <si>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</si>
  <si>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</si>
  <si>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</si>
  <si>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</si>
  <si>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</si>
  <si>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</si>
  <si>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</si>
  <si>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</si>
  <si>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</si>
  <si>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</si>
  <si>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</si>
  <si>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</si>
  <si>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</si>
  <si>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</si>
  <si>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</si>
  <si>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</si>
  <si>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</si>
  <si>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</si>
  <si>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</si>
  <si>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</si>
  <si>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</si>
  <si>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</si>
  <si>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</si>
  <si>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</si>
  <si>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</si>
  <si>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</si>
  <si>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</si>
  <si>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</si>
  <si>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</si>
  <si>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</si>
  <si>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</si>
  <si>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</si>
  <si>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</si>
  <si>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</si>
  <si>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</si>
  <si>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</si>
  <si>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</si>
  <si>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</si>
  <si>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</si>
  <si>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</si>
  <si>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</si>
  <si>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</si>
  <si>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</si>
  <si>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</si>
  <si>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</si>
  <si>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</si>
  <si>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</si>
  <si>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</si>
  <si>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</si>
  <si>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</si>
  <si>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</si>
  <si>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</si>
  <si>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</si>
  <si>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</si>
  <si>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</si>
  <si>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</si>
  <si>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</si>
  <si>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</si>
  <si>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</si>
  <si>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</si>
  <si>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</si>
  <si>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</si>
  <si>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</si>
  <si>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</si>
  <si>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</si>
  <si>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</si>
  <si>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</si>
  <si>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</si>
  <si>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</si>
  <si>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</si>
  <si>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</si>
  <si>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</si>
  <si>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</si>
  <si>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</si>
  <si>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</si>
  <si>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</si>
  <si>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</si>
  <si>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</si>
  <si>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</si>
  <si>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</si>
  <si>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</si>
  <si>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</si>
  <si>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</si>
  <si>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</si>
  <si>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</si>
  <si>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</si>
  <si>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</si>
  <si>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</si>
  <si>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</si>
  <si>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</si>
  <si>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</si>
  <si>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</si>
  <si>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</si>
  <si>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</si>
  <si>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</si>
  <si>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</si>
  <si>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</si>
  <si>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</si>
  <si>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</si>
  <si>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</si>
  <si>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</si>
  <si>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</si>
  <si>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</si>
  <si>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</si>
  <si>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</si>
  <si>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</si>
  <si>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</si>
  <si>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</si>
  <si>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</si>
  <si>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</si>
  <si>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</si>
  <si>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</si>
  <si>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</si>
  <si>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</si>
  <si>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</si>
  <si>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</si>
  <si>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</si>
  <si>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</si>
  <si>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</si>
  <si>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</si>
  <si>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</si>
  <si>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</si>
  <si>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</si>
  <si>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</si>
  <si>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</si>
  <si>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</si>
  <si>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</si>
  <si>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</si>
  <si>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</si>
  <si>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</si>
  <si>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</si>
  <si>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</si>
  <si>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</si>
  <si>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</si>
  <si>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</si>
  <si>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</si>
  <si>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</si>
  <si>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</si>
  <si>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</si>
  <si>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</si>
  <si>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</si>
  <si>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</si>
  <si>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</si>
  <si>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</si>
  <si>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</si>
  <si>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</si>
  <si>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</si>
  <si>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</si>
  <si>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</si>
  <si>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</si>
  <si>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</si>
  <si>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</si>
  <si>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</si>
  <si>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</si>
  <si>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</si>
  <si>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</si>
  <si>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</si>
  <si>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</si>
  <si>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</si>
  <si>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</si>
  <si>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</si>
  <si>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</si>
  <si>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</si>
  <si>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</si>
  <si>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</si>
  <si>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</si>
  <si>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</si>
  <si>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</si>
  <si>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</si>
  <si>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</si>
  <si>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</si>
  <si>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</si>
  <si>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</si>
  <si>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</si>
  <si>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</si>
  <si>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</si>
  <si>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</si>
  <si>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</si>
  <si>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</si>
  <si>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</si>
  <si>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</si>
  <si>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</si>
  <si>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</si>
  <si>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</si>
  <si>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</si>
  <si>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</si>
  <si>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</si>
  <si>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</si>
  <si>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</si>
  <si>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</si>
  <si>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</si>
  <si>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</si>
  <si>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</si>
  <si>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</si>
  <si>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</si>
  <si>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</si>
  <si>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</si>
  <si>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</si>
  <si>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</si>
  <si>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</si>
  <si>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</si>
  <si>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</si>
  <si>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</si>
  <si>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</si>
  <si>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</si>
  <si>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</si>
  <si>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</si>
  <si>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</si>
  <si>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</si>
  <si>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</si>
  <si>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</si>
  <si>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</si>
  <si>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</si>
  <si>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</si>
  <si>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</si>
  <si>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</si>
  <si>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</si>
  <si>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</si>
  <si>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</si>
  <si>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</si>
  <si>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</si>
  <si>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</si>
  <si>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</si>
  <si>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</si>
  <si>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</si>
  <si>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</si>
  <si>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</si>
  <si>
    <t>Add payment term to expense items (eg. For BG)</t>
  </si>
  <si>
    <t>Excel Import All Accounts</t>
  </si>
  <si>
    <t>Excel Import Clients</t>
  </si>
  <si>
    <t>Excel Import Users</t>
  </si>
  <si>
    <t>tClient
tAccount</t>
  </si>
  <si>
    <t>TypePlanStatus</t>
  </si>
  <si>
    <t>tCurrency
tPlan</t>
  </si>
  <si>
    <t>VersionCode</t>
  </si>
  <si>
    <t>StatusPreliminary</t>
  </si>
  <si>
    <t>AccountCodeDebit</t>
  </si>
  <si>
    <t>AccountCodeCredit</t>
  </si>
  <si>
    <t>Check update trigger functionality upon record insert (eg. In tariff detail)</t>
  </si>
  <si>
    <t>Account titles wrong when account auto-generated upon DATEV import</t>
  </si>
  <si>
    <t>Account reference for depreciation of the item. If provided this will override any account specified in the plan element.</t>
  </si>
  <si>
    <t>DATEVBUCode</t>
  </si>
  <si>
    <t>short</t>
  </si>
  <si>
    <t>idAccountReport</t>
  </si>
  <si>
    <t>idAccountBooking</t>
  </si>
  <si>
    <t>AccountCodeReport</t>
  </si>
  <si>
    <t>idCostCenter</t>
  </si>
  <si>
    <t>MonthIndex</t>
  </si>
  <si>
    <t>DepreciationStartDay</t>
  </si>
  <si>
    <t>DepreciationStartMonth</t>
  </si>
  <si>
    <t>DepreciationStartYear</t>
  </si>
  <si>
    <t>Optional delayed start of depreciation in number of days versus transaction base date. Applied on every repeated transaction (not for allocation schedules). Used to delay depreciation or accrual for repeated transactions with prepayment such as annual insurance premiums (only for type purchase).</t>
  </si>
  <si>
    <t>Optional date for start of depreciation. Can be used to trigger depreciation of  an entire facility after completion (only for type purchase). Applied to base date if FlagDateOffset is true. Ignored if depreciation trigger is set.</t>
  </si>
  <si>
    <t>see DepreciationStartDay</t>
  </si>
  <si>
    <t>Indicates whether a the schedule rates are absolute currency or relative to the item budget</t>
  </si>
  <si>
    <t>FlagAbsoluteRates</t>
  </si>
  <si>
    <t>Accrued sale: PRAP to revenue per schedule, bank to PRAP at conversion date. Restructure H2020 plan elements (CC P0002)</t>
  </si>
  <si>
    <t>idCostCenterFixed</t>
  </si>
  <si>
    <t>Optional fixed cost center for expense. If not specified the cost center will be derived from the plan element.</t>
  </si>
  <si>
    <t>CostCenterFixed</t>
  </si>
  <si>
    <t>Automatic update of account code fields and other data warehouse fields in bookrecord and transaction</t>
  </si>
  <si>
    <t>Mark baseline and annual reporting records (EB Buchungen) to exclude for cash flow reporting</t>
  </si>
  <si>
    <t>FlagAccountOpening</t>
  </si>
  <si>
    <t>Flag indicates that booking record posts opening or closing amounts to the account. These booking transactions will be disregarded for cash flow calculations</t>
  </si>
  <si>
    <t>AccountSection</t>
  </si>
  <si>
    <t>Categorization of account main groups/groups into the major sections of balance sheet and P&amp;L</t>
  </si>
  <si>
    <t>AccountMainGroup</t>
  </si>
  <si>
    <t>Categoritzation of account groups into main groups for hierarchical reporting</t>
  </si>
  <si>
    <t>tClient
tAccountSection</t>
  </si>
  <si>
    <t>tAccountSection</t>
  </si>
  <si>
    <t>Title of the accounting report section</t>
  </si>
  <si>
    <t>SectionOrder</t>
  </si>
  <si>
    <t>Order number for reporting</t>
  </si>
  <si>
    <t>Other</t>
  </si>
  <si>
    <t>P_L</t>
  </si>
  <si>
    <t>Differentiates major accounting reports into assets, liabilities, P&amp;L and Other (technical) accounts. All other reports are derived from these major categories. Cash flow is a derived report.</t>
  </si>
  <si>
    <t>Title of the accounting report section (english)</t>
  </si>
  <si>
    <t>tAccountMainGroup</t>
  </si>
  <si>
    <t>idAccountSection</t>
  </si>
  <si>
    <t>Reference to account section</t>
  </si>
  <si>
    <t>Title of the accounting report main group</t>
  </si>
  <si>
    <t>Title of the accounting report main group (english)</t>
  </si>
  <si>
    <t>MainGroupOrder</t>
  </si>
  <si>
    <t>idAccountMainGroup</t>
  </si>
  <si>
    <t>Reference to account main group</t>
  </si>
  <si>
    <t>AccountGroupOrder</t>
  </si>
  <si>
    <t>TitleLocalSection</t>
  </si>
  <si>
    <t>TitleEnglishSection</t>
  </si>
  <si>
    <t>TitleLocalMainGroup</t>
  </si>
  <si>
    <t>TitleEnglishMainGroup</t>
  </si>
  <si>
    <t>Defines the reporting order for account groups</t>
  </si>
  <si>
    <t>Copy of account section id for faster reporting/database performance</t>
  </si>
  <si>
    <t>Copy of account main group id for faster reporting/database performance</t>
  </si>
  <si>
    <t>Copy of account type from account section for database performance. Specifies the type of account for P&amp;L and balance sheet (and other technical accounts which are not reported in balance sheet or P&amp;L). Balance sheets is separated into asset and liability accounts</t>
  </si>
  <si>
    <t>obsolete</t>
  </si>
  <si>
    <t>Specifies an alternative account code for reporting. This is used to report individual debitor and creditor accounts under a single reporting account. Booking transactions will be assigned to reporting account for fast reporting</t>
  </si>
  <si>
    <t>Import</t>
  </si>
  <si>
    <t>Implement import for AccountSection and AccountMainGroup, update import for AccountGroup and Account</t>
  </si>
  <si>
    <t>Auto update section, type and main group fields for data warehousing</t>
  </si>
  <si>
    <t>AllocationSchedule</t>
  </si>
  <si>
    <t>Update in items does not trigger element update flag</t>
  </si>
  <si>
    <t>Delete plan with dependant items</t>
  </si>
  <si>
    <t>ApprovedTo</t>
  </si>
  <si>
    <t>Date until which the plan as been approved as budget. Is set when TypeStatus moves to "Budget"</t>
  </si>
  <si>
    <t>Isse</t>
  </si>
  <si>
    <t>DB</t>
  </si>
  <si>
    <t>Schema Update auf Azure DB durchführen</t>
  </si>
  <si>
    <t>Done</t>
  </si>
  <si>
    <t>Plan als Budget genehmigen und festsetzen. BookRecord Status anpassen
Fortsetzen: PlanElementInstance.ApprovePlanElementInstance</t>
  </si>
  <si>
    <t>ReviewComment</t>
  </si>
  <si>
    <t>Free review comment. Change possible for actuals and fixed budget entries for commenting</t>
  </si>
  <si>
    <t>FlagForecast</t>
  </si>
  <si>
    <t>Indicates that the transaction is part of the current forecast</t>
  </si>
  <si>
    <t>Historical</t>
  </si>
  <si>
    <t>New</t>
  </si>
  <si>
    <t>SalaryDefault</t>
  </si>
  <si>
    <t>Obsolete</t>
  </si>
  <si>
    <t>Prio 1</t>
  </si>
  <si>
    <t>In plan element dialog provide reference code selection dialog.</t>
  </si>
  <si>
    <t>In plan element list in plan dialog: show reference code</t>
  </si>
  <si>
    <t>Create reference code list for Excel export to Business Central</t>
  </si>
  <si>
    <t>Create reference code edit dialog</t>
  </si>
  <si>
    <t>Import Kost1 from DATEV journal to reference code in BookingRecord and BookingTransaction</t>
  </si>
  <si>
    <t>Fill reference code fields in BookingRecord and BookingTransaction from Plan Element</t>
  </si>
  <si>
    <t>Add reference code field to BookingRecord and BookingTransaction</t>
  </si>
  <si>
    <t>Prio 2</t>
  </si>
  <si>
    <t xml:space="preserve">When entering reference code in plan element: check whether code is new. If code is new offer to generate new code with title of plan element and create new code in tReferenceCode. Display name of reference code next to code field in plan element. </t>
  </si>
  <si>
    <t>Change ReferenceCode data structure: ReferenceGroup as simple type with default. Add inactive flag to reference code table</t>
  </si>
  <si>
    <t>idReferenceGroupDefault</t>
  </si>
  <si>
    <t>Defines the default reference group for creation of new Reference Codes</t>
  </si>
  <si>
    <t>FlagActive</t>
  </si>
  <si>
    <t>Marks whether a reference code is used in accounting</t>
  </si>
  <si>
    <t>ReferenceIDBookTransaction</t>
  </si>
  <si>
    <t>TitleRefCodeEnglish</t>
  </si>
  <si>
    <t>Title of the reference item, optional, local language</t>
  </si>
  <si>
    <t>Title of the reference item, optional, english language</t>
  </si>
  <si>
    <t>C:\Users\thors\OneDrive\30. Develop\Projects\Verum\Design\DatabaseScripts</t>
  </si>
  <si>
    <t>Indicates that the transaction is part of the current baseline (budget + forecasted plans without actuals)</t>
  </si>
  <si>
    <t>D:\Verum Project\VerumAutoGenerateModels</t>
  </si>
  <si>
    <t>BCTransactionNo</t>
  </si>
  <si>
    <t xml:space="preserve">This is TransactionNumber of Dynamic 365 Business Center. We can get this transaction numer when call the api of GeneralLedgerPage or G_Lentries. </t>
  </si>
  <si>
    <t>BCDateUpdated</t>
  </si>
  <si>
    <t>BCDateCreated</t>
  </si>
  <si>
    <t>About the detail of when has this record been updated</t>
  </si>
  <si>
    <t>Date Time</t>
  </si>
  <si>
    <t>TransactionMainAccountCode</t>
  </si>
  <si>
    <t>About the detail of in which account amount are debit/credit. One transaction have multiple purchase/sale entries means that entries are debit/credit in one account. Through this column we can identify that account.</t>
  </si>
  <si>
    <t>BCGeneralLedgerPageAPIEntryNo</t>
  </si>
  <si>
    <t>This column are link with Dynamic 365 business Center Api "GeneralLedgerPage" field name EntryNo.</t>
  </si>
  <si>
    <t>BCLastUpdate</t>
  </si>
  <si>
    <t xml:space="preserve">last call datetime of Dynamic Business Center </t>
  </si>
  <si>
    <t>Data Source=TECHCOMPILER-35; Initial Catalog=VerumTest; Integrated Security=True</t>
  </si>
  <si>
    <t>BusinessCenterUrl</t>
  </si>
  <si>
    <t xml:space="preserve">Dynamic Business Center API are using for update bookrecord </t>
  </si>
  <si>
    <t>BCLastBookingCodeNo</t>
  </si>
  <si>
    <t>Last imported number into BookingRunCode for business center</t>
  </si>
  <si>
    <t>BCDocumentNo</t>
  </si>
  <si>
    <t>BCDocumentType</t>
  </si>
  <si>
    <t xml:space="preserve">We can get this numer when call the api of GeneralLedgerPage or G_Lentries. </t>
  </si>
  <si>
    <t xml:space="preserve">We can get this documenttype when call the api of GeneralLedgerPage or G_Lentries. </t>
  </si>
  <si>
    <t>ExternalDocumentNo</t>
  </si>
  <si>
    <t>This column are link with Dynamic 365 business Center Api "GeneralLedgerPage" field name ExternalDocumentNo.</t>
  </si>
  <si>
    <t>This column are link with Dynamic 365 business Center Api "GeneralLedgerPage" field name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</si>
</sst>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i/>
      <sz val="11"/>
      <color theme="1"/>
      <name val="Calibri"/>
      <family val="2"/>
      <scheme val="minor"/>
    </font>
    <font>
      <sz val="11"/>
      <name val="Calibri"/>
      <family val="2"/>
      <scheme val="minor"/>
    </font>
    <font>
      <sz val="11"/>
      <color rgb="FFFF0000"/>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indexed="64"/>
      </patternFill>
    </fill>
  </fills>
  <borders count="1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
      <left style="thin">
        <color theme="1"/>
      </left>
      <right/>
      <top style="thin">
        <color theme="1"/>
      </top>
      <bottom/>
      <diagonal/>
    </border>
    <border>
      <left style="thin">
        <color theme="1"/>
      </left>
      <right/>
      <top style="thin">
        <color theme="1"/>
      </top>
      <bottom style="thin">
        <color theme="1"/>
      </bottom>
      <diagonal/>
    </border>
  </borders>
  <cellStyleXfs count="1">
    <xf numFmtId="0" fontId="0" fillId="0" borderId="0"/>
  </cellStyleXfs>
  <cellXfs count="18">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1" fillId="0" borderId="0" xfId="0" applyFont="1"/>
    <xf numFmtId="0" fontId="2" fillId="0" borderId="0" xfId="0" applyFont="1"/>
    <xf numFmtId="0" fontId="0" fillId="0" borderId="7" xfId="0" applyBorder="1"/>
    <xf numFmtId="0" fontId="3" fillId="0" borderId="0" xfId="0" applyFont="1" applyAlignment="1">
      <alignment wrapText="1"/>
    </xf>
    <xf numFmtId="0" fontId="0" fillId="0" borderId="8" xfId="0" applyBorder="1"/>
    <xf numFmtId="0" fontId="0" fillId="0" borderId="9"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Normal" xfId="0" builtinId="0"/>
  </cellStyles>
  <dxfs count="16">
    <dxf>
      <alignment horizontal="general" vertical="bottom" textRotation="0" wrapText="1" indent="0" justifyLastLine="0" shrinkToFit="0" readingOrder="0"/>
    </dxf>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2293620</xdr:colOff>
          <xdr:row>2</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182880</xdr:rowOff>
        </xdr:from>
        <xdr:to>
          <xdr:col>0</xdr:col>
          <xdr:colOff>2293620</xdr:colOff>
          <xdr:row>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40" totalsRowShown="0" headerRowDxfId="15">
  <autoFilter ref="A1:J40" xr:uid="{3FC7BAB2-83A4-4C49-B4E9-F430DFB9E271}"/>
  <sortState xmlns:xlrd2="http://schemas.microsoft.com/office/spreadsheetml/2017/richdata2" ref="A2:J40">
    <sortCondition ref="E2:E40"/>
  </sortState>
  <tableColumns count="10">
    <tableColumn id="1" xr3:uid="{21FC1D8E-375B-4557-BB68-7C2F1416CC6A}" name="Entity Name"/>
    <tableColumn id="4" xr3:uid="{63210F70-A66D-47AE-9387-CE903922C263}" name="Description" dataDxfId="14"/>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3">
      <calculatedColumnFormula>"t"&amp;Tables[[#This Row],[Entity Name]]</calculatedColumnFormula>
    </tableColumn>
    <tableColumn id="10" xr3:uid="{5681D341-E8C6-4CF2-BC51-EB346B60DFD7}" name="ViewName" dataDxfId="12">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325" totalsRowShown="0">
  <autoFilter ref="A1:V325" xr:uid="{6C9F4177-2F2C-46C1-9FC5-827AAE8A43DD}"/>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1"/>
    <tableColumn id="3" xr3:uid="{0ED351C7-76F0-4840-80C9-EA8B456A0BAF}" name="Data Type_x000a_Access"/>
    <tableColumn id="12" xr3:uid="{71474AE3-01F0-483C-9BB1-4C82339D8278}" name="Data Type SQL Server"/>
    <tableColumn id="10" xr3:uid="{5F32AEB2-B34A-4A92-A8A3-A05D4F1DBE37}" name="Size" dataDxfId="10"/>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9"/>
    <tableColumn id="21" xr3:uid="{88927A6F-2FE2-4543-89B9-1A058BEFFE8D}" name="Reference Entity" dataDxfId="8"/>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7"/>
    <tableColumn id="8" xr3:uid="{2367896C-43EE-40EE-8815-B40A76B58138}" name="Index"/>
    <tableColumn id="18" xr3:uid="{A0B4A292-9090-4D70-BF39-DFF27CCDC9A3}" name="Unique" dataDxfId="6"/>
    <tableColumn id="5" xr3:uid="{3C0DD284-3B78-4282-A258-441F8153DDD2}" name="ViewAlias" dataDxfId="5"/>
    <tableColumn id="20" xr3:uid="{C60CBD46-F13E-49A7-BE9C-2CB07D3BF9C6}" name="ViewIgnoreRef" dataDxfId="4"/>
    <tableColumn id="19" xr3:uid="{74F7F88F-E45E-4FF5-84F1-02C8AC660F70}" name="ViewRefPostFix" dataDxfId="3"/>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9" totalsRowShown="0">
  <autoFilter ref="A1:D59"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2">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108" totalsRowShown="0">
  <autoFilter ref="A1:E108" xr:uid="{D0F7D4B2-3E8F-4B71-9417-39F49A258EDE}">
    <filterColumn colId="4">
      <filters>
        <filter val="Prio 1"/>
        <filter val="Prio 2"/>
      </filters>
    </filterColumn>
  </autoFilter>
  <tableColumns count="5">
    <tableColumn id="1" xr3:uid="{AFDCA47B-D912-48C8-991C-7E9A00AFD09B}" name="Date" dataDxfId="1"/>
    <tableColumn id="2" xr3:uid="{8B648B12-BB3C-4E90-B5AA-D97AB1E0C0AD}" name="Type"/>
    <tableColumn id="5" xr3:uid="{AD6C6663-09B0-4DD9-98A3-4C57D49F866C}" name="Reference"/>
    <tableColumn id="3" xr3:uid="{83A80644-C3BA-4592-9E8B-D1A86E817BE4}" name="Description" dataDxfId="0"/>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tabSelected="1" workbookViewId="0">
      <selection activeCell="E16" sqref="E16"/>
    </sheetView>
  </sheetViews>
  <sheetFormatPr defaultColWidth="11.44140625" defaultRowHeight="14.4" outlineLevelCol="1" x14ac:dyDescent="0.3"/>
  <cols>
    <col min="1" max="1" width="34.5546875" bestFit="1" customWidth="1"/>
    <col min="2" max="2" width="17.6640625" hidden="1" customWidth="1" outlineLevel="1"/>
    <col min="3" max="3" width="11.44140625" collapsed="1"/>
    <col min="7" max="7" width="40.33203125" customWidth="1"/>
  </cols>
  <sheetData>
    <row r="11" spans="1:7" x14ac:dyDescent="0.3">
      <c r="A11" s="6" t="s">
        <v>369</v>
      </c>
      <c r="B11" s="6" t="s">
        <v>372</v>
      </c>
    </row>
    <row r="12" spans="1:7" x14ac:dyDescent="0.3">
      <c r="A12" t="s">
        <v>356</v>
      </c>
      <c r="B12" t="s">
        <v>365</v>
      </c>
      <c r="C12" s="12" t="s">
        <v>889</v>
      </c>
      <c r="D12" s="13"/>
      <c r="E12" s="13"/>
      <c r="F12" s="13"/>
      <c r="G12" s="14"/>
    </row>
    <row r="13" spans="1:7" x14ac:dyDescent="0.3">
      <c r="A13" t="s">
        <v>383</v>
      </c>
      <c r="B13" t="s">
        <v>366</v>
      </c>
      <c r="C13" s="12" t="s">
        <v>891</v>
      </c>
      <c r="D13" s="13"/>
      <c r="E13" s="13"/>
      <c r="F13" s="13"/>
      <c r="G13" s="14"/>
    </row>
    <row r="14" spans="1:7" x14ac:dyDescent="0.3">
      <c r="A14" t="s">
        <v>384</v>
      </c>
      <c r="B14" t="s">
        <v>385</v>
      </c>
      <c r="C14" s="12" t="s">
        <v>891</v>
      </c>
      <c r="D14" s="13"/>
      <c r="E14" s="13"/>
      <c r="F14" s="13"/>
      <c r="G14" s="14"/>
    </row>
    <row r="16" spans="1:7" x14ac:dyDescent="0.3">
      <c r="A16" s="6" t="s">
        <v>363</v>
      </c>
    </row>
    <row r="17" spans="1:11" x14ac:dyDescent="0.3">
      <c r="A17" t="s">
        <v>364</v>
      </c>
      <c r="B17" t="s">
        <v>367</v>
      </c>
      <c r="C17" s="15" t="s">
        <v>368</v>
      </c>
      <c r="D17" s="16"/>
      <c r="E17" s="16"/>
      <c r="F17" s="16"/>
      <c r="G17" s="17"/>
    </row>
    <row r="18" spans="1:11" x14ac:dyDescent="0.3">
      <c r="A18" t="s">
        <v>370</v>
      </c>
      <c r="B18" t="s">
        <v>371</v>
      </c>
      <c r="C18" s="12" t="s">
        <v>904</v>
      </c>
      <c r="D18" s="13"/>
      <c r="E18" s="13"/>
      <c r="F18" s="13"/>
      <c r="G18" s="13"/>
      <c r="H18" s="13"/>
      <c r="I18" s="13"/>
      <c r="J18" s="13"/>
      <c r="K18" s="14"/>
    </row>
    <row r="19" spans="1:11" x14ac:dyDescent="0.3">
      <c r="A19" t="s">
        <v>373</v>
      </c>
      <c r="B19" t="s">
        <v>373</v>
      </c>
      <c r="C19" s="15" t="s">
        <v>374</v>
      </c>
      <c r="D19" s="16"/>
      <c r="E19" s="16"/>
      <c r="F19" s="16"/>
      <c r="G19" s="17"/>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2293620</xdr:colOff>
                    <xdr:row>2</xdr:row>
                    <xdr:rowOff>175260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182880</xdr:rowOff>
                  </from>
                  <to>
                    <xdr:col>0</xdr:col>
                    <xdr:colOff>2293620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40"/>
  <sheetViews>
    <sheetView workbookViewId="0">
      <selection activeCell="H39" sqref="H39"/>
    </sheetView>
  </sheetViews>
  <sheetFormatPr defaultColWidth="11.44140625" defaultRowHeight="14.4" outlineLevelCol="1" x14ac:dyDescent="0.3"/>
  <cols>
    <col min="1" max="1" width="23" bestFit="1" customWidth="1"/>
    <col min="2" max="2" width="101.88671875" customWidth="1" outlineLevel="1"/>
    <col min="3" max="3" width="14" bestFit="1" customWidth="1"/>
    <col min="4" max="4" width="20.5546875" bestFit="1" customWidth="1"/>
    <col min="5" max="5" width="13.5546875" customWidth="1"/>
    <col min="6" max="6" width="12.109375" bestFit="1" customWidth="1"/>
    <col min="7" max="7" width="12.44140625" customWidth="1"/>
    <col min="8" max="8" width="23" bestFit="1" customWidth="1"/>
    <col min="9" max="9" width="23.33203125" style="1" bestFit="1" customWidth="1"/>
  </cols>
  <sheetData>
    <row r="1" spans="1:10" s="1" customFormat="1" ht="28.8" x14ac:dyDescent="0.3">
      <c r="A1" s="1" t="s">
        <v>353</v>
      </c>
      <c r="B1" s="1" t="s">
        <v>3</v>
      </c>
      <c r="C1" s="1" t="s">
        <v>23</v>
      </c>
      <c r="D1" s="1" t="s">
        <v>325</v>
      </c>
      <c r="E1" s="1" t="s">
        <v>326</v>
      </c>
      <c r="F1" s="1" t="s">
        <v>332</v>
      </c>
      <c r="G1" s="1" t="s">
        <v>355</v>
      </c>
      <c r="H1" s="1" t="s">
        <v>351</v>
      </c>
      <c r="I1" s="1" t="s">
        <v>352</v>
      </c>
      <c r="J1" s="1" t="s">
        <v>237</v>
      </c>
    </row>
    <row r="2" spans="1:10" x14ac:dyDescent="0.3">
      <c r="A2" t="s">
        <v>333</v>
      </c>
      <c r="B2" s="1" t="s">
        <v>92</v>
      </c>
      <c r="C2" t="s">
        <v>146</v>
      </c>
      <c r="E2">
        <v>1</v>
      </c>
      <c r="F2" t="s">
        <v>20</v>
      </c>
      <c r="G2">
        <v>0</v>
      </c>
      <c r="H2" t="str">
        <f>"t"&amp;Tables[[#This Row],[Entity Name]]</f>
        <v>tCurrency</v>
      </c>
      <c r="I2" t="str">
        <f>"v"&amp;Tables[[#This Row],[Entity Name]]</f>
        <v>vCurrency</v>
      </c>
      <c r="J2" t="s">
        <v>236</v>
      </c>
    </row>
    <row r="3" spans="1:10" ht="28.8" x14ac:dyDescent="0.3">
      <c r="A3" t="s">
        <v>147</v>
      </c>
      <c r="B3" s="1" t="s">
        <v>150</v>
      </c>
      <c r="C3" t="s">
        <v>146</v>
      </c>
      <c r="E3">
        <v>2</v>
      </c>
      <c r="F3" t="s">
        <v>20</v>
      </c>
      <c r="G3">
        <v>0</v>
      </c>
      <c r="H3" t="str">
        <f>"t"&amp;Tables[[#This Row],[Entity Name]]</f>
        <v>tClient</v>
      </c>
      <c r="I3" t="str">
        <f>"v"&amp;Tables[[#This Row],[Entity Name]]</f>
        <v>vClient</v>
      </c>
      <c r="J3" t="s">
        <v>236</v>
      </c>
    </row>
    <row r="4" spans="1:10" x14ac:dyDescent="0.3">
      <c r="A4" t="s">
        <v>468</v>
      </c>
      <c r="B4" s="1"/>
      <c r="C4" t="s">
        <v>146</v>
      </c>
      <c r="E4">
        <v>3</v>
      </c>
      <c r="F4" t="s">
        <v>20</v>
      </c>
      <c r="G4">
        <v>0</v>
      </c>
      <c r="H4" t="str">
        <f>"t"&amp;Tables[[#This Row],[Entity Name]]</f>
        <v>tTypeGroupDef</v>
      </c>
      <c r="I4" t="str">
        <f>"v"&amp;Tables[[#This Row],[Entity Name]]</f>
        <v>vTypeGroupDef</v>
      </c>
      <c r="J4" t="s">
        <v>469</v>
      </c>
    </row>
    <row r="5" spans="1:10" x14ac:dyDescent="0.3">
      <c r="A5" t="s">
        <v>467</v>
      </c>
      <c r="B5" s="1" t="s">
        <v>180</v>
      </c>
      <c r="C5" t="s">
        <v>146</v>
      </c>
      <c r="E5">
        <v>4</v>
      </c>
      <c r="F5" t="s">
        <v>20</v>
      </c>
      <c r="G5">
        <v>0</v>
      </c>
      <c r="H5" t="str">
        <f>"t"&amp;Tables[[#This Row],[Entity Name]]</f>
        <v>tTypeCodeDef</v>
      </c>
      <c r="I5" t="str">
        <f>"v"&amp;Tables[[#This Row],[Entity Name]]</f>
        <v>vTypeCodeDef</v>
      </c>
      <c r="J5" t="s">
        <v>469</v>
      </c>
    </row>
    <row r="6" spans="1:10" x14ac:dyDescent="0.3">
      <c r="A6" t="s">
        <v>527</v>
      </c>
      <c r="B6" s="1" t="s">
        <v>528</v>
      </c>
      <c r="D6" t="s">
        <v>8</v>
      </c>
      <c r="E6">
        <v>5</v>
      </c>
      <c r="F6" t="s">
        <v>20</v>
      </c>
      <c r="G6">
        <v>0</v>
      </c>
      <c r="H6" t="str">
        <f>"t"&amp;Tables[[#This Row],[Entity Name]]</f>
        <v>tUser</v>
      </c>
      <c r="I6" s="1" t="str">
        <f>"v"&amp;Tables[[#This Row],[Entity Name]]</f>
        <v>vUser</v>
      </c>
      <c r="J6" t="s">
        <v>469</v>
      </c>
    </row>
    <row r="7" spans="1:10" ht="28.8" x14ac:dyDescent="0.3">
      <c r="A7" t="s">
        <v>539</v>
      </c>
      <c r="B7" s="1" t="s">
        <v>540</v>
      </c>
      <c r="D7" s="1" t="s">
        <v>541</v>
      </c>
      <c r="E7">
        <v>6</v>
      </c>
      <c r="F7" t="s">
        <v>20</v>
      </c>
      <c r="G7">
        <v>0</v>
      </c>
      <c r="H7" t="str">
        <f>"t"&amp;Tables[[#This Row],[Entity Name]]</f>
        <v>tSession</v>
      </c>
      <c r="I7" s="1" t="str">
        <f>"v"&amp;Tables[[#This Row],[Entity Name]]</f>
        <v>vSession</v>
      </c>
      <c r="J7" t="s">
        <v>469</v>
      </c>
    </row>
    <row r="8" spans="1:10" x14ac:dyDescent="0.3">
      <c r="A8" t="s">
        <v>760</v>
      </c>
      <c r="B8" s="1"/>
      <c r="D8" t="str">
        <f>"t"&amp;Tables[[#This Row],[Entity Name]]</f>
        <v>tJobReport</v>
      </c>
      <c r="E8">
        <v>7</v>
      </c>
      <c r="F8" t="s">
        <v>20</v>
      </c>
      <c r="G8">
        <v>0</v>
      </c>
      <c r="H8" t="str">
        <f>"t"&amp;Tables[[#This Row],[Entity Name]]</f>
        <v>tJobReport</v>
      </c>
      <c r="I8" s="1" t="str">
        <f>"v"&amp;Tables[[#This Row],[Entity Name]]</f>
        <v>vJobReport</v>
      </c>
      <c r="J8" t="s">
        <v>236</v>
      </c>
    </row>
    <row r="9" spans="1:10" x14ac:dyDescent="0.3">
      <c r="A9" t="s">
        <v>761</v>
      </c>
      <c r="B9" s="1"/>
      <c r="D9" t="str">
        <f>"t"&amp;Tables[[#This Row],[Entity Name]]</f>
        <v>tJobReportItem</v>
      </c>
      <c r="E9">
        <v>8</v>
      </c>
      <c r="F9" t="s">
        <v>20</v>
      </c>
      <c r="G9">
        <v>0</v>
      </c>
      <c r="H9" t="str">
        <f>"t"&amp;Tables[[#This Row],[Entity Name]]</f>
        <v>tJobReportItem</v>
      </c>
      <c r="I9" s="1" t="str">
        <f>"v"&amp;Tables[[#This Row],[Entity Name]]</f>
        <v>vJobReportItem</v>
      </c>
      <c r="J9" t="s">
        <v>236</v>
      </c>
    </row>
    <row r="10" spans="1:10" x14ac:dyDescent="0.3">
      <c r="A10" t="s">
        <v>817</v>
      </c>
      <c r="B10" s="1" t="s">
        <v>818</v>
      </c>
      <c r="C10" t="s">
        <v>147</v>
      </c>
      <c r="D10" t="s">
        <v>8</v>
      </c>
      <c r="E10">
        <v>9</v>
      </c>
      <c r="F10" t="s">
        <v>20</v>
      </c>
      <c r="G10">
        <v>0</v>
      </c>
      <c r="H10" t="str">
        <f>"t"&amp;Tables[[#This Row],[Entity Name]]</f>
        <v>tAccountSection</v>
      </c>
      <c r="I10" s="1" t="str">
        <f>"v"&amp;Tables[[#This Row],[Entity Name]]</f>
        <v>vAccountSection</v>
      </c>
      <c r="J10" t="s">
        <v>236</v>
      </c>
    </row>
    <row r="11" spans="1:10" ht="28.8" x14ac:dyDescent="0.3">
      <c r="A11" t="s">
        <v>819</v>
      </c>
      <c r="B11" s="1" t="s">
        <v>820</v>
      </c>
      <c r="C11" t="s">
        <v>147</v>
      </c>
      <c r="D11" s="1" t="s">
        <v>821</v>
      </c>
      <c r="E11">
        <v>10</v>
      </c>
      <c r="F11" t="s">
        <v>20</v>
      </c>
      <c r="G11">
        <v>0</v>
      </c>
      <c r="H11" t="str">
        <f>"t"&amp;Tables[[#This Row],[Entity Name]]</f>
        <v>tAccountMainGroup</v>
      </c>
      <c r="I11" s="1" t="str">
        <f>"v"&amp;Tables[[#This Row],[Entity Name]]</f>
        <v>vAccountMainGroup</v>
      </c>
      <c r="J11" t="s">
        <v>236</v>
      </c>
    </row>
    <row r="12" spans="1:10" x14ac:dyDescent="0.3">
      <c r="A12" t="s">
        <v>336</v>
      </c>
      <c r="B12" s="1" t="s">
        <v>166</v>
      </c>
      <c r="C12" t="s">
        <v>147</v>
      </c>
      <c r="D12" t="s">
        <v>8</v>
      </c>
      <c r="E12">
        <v>11</v>
      </c>
      <c r="F12" t="s">
        <v>20</v>
      </c>
      <c r="G12">
        <v>0</v>
      </c>
      <c r="H12" t="str">
        <f>"t"&amp;Tables[[#This Row],[Entity Name]]</f>
        <v>tAccountGroup</v>
      </c>
      <c r="I12" t="str">
        <f>"v"&amp;Tables[[#This Row],[Entity Name]]</f>
        <v>vAccountGroup</v>
      </c>
      <c r="J12" t="s">
        <v>236</v>
      </c>
    </row>
    <row r="13" spans="1:10" ht="28.8" x14ac:dyDescent="0.3">
      <c r="A13" t="s">
        <v>335</v>
      </c>
      <c r="B13" s="1" t="s">
        <v>149</v>
      </c>
      <c r="C13" t="s">
        <v>147</v>
      </c>
      <c r="D13" s="1" t="s">
        <v>461</v>
      </c>
      <c r="E13">
        <v>12</v>
      </c>
      <c r="F13" t="s">
        <v>20</v>
      </c>
      <c r="G13">
        <v>0</v>
      </c>
      <c r="H13" t="str">
        <f>"t"&amp;Tables[[#This Row],[Entity Name]]</f>
        <v>tAccount</v>
      </c>
      <c r="I13" t="str">
        <f>"v"&amp;Tables[[#This Row],[Entity Name]]</f>
        <v>vAccount</v>
      </c>
      <c r="J13" t="s">
        <v>236</v>
      </c>
    </row>
    <row r="14" spans="1:10" ht="28.8" x14ac:dyDescent="0.3">
      <c r="A14" t="s">
        <v>334</v>
      </c>
      <c r="B14" s="1" t="s">
        <v>159</v>
      </c>
      <c r="C14" t="s">
        <v>147</v>
      </c>
      <c r="D14" s="1" t="s">
        <v>784</v>
      </c>
      <c r="E14" s="1">
        <v>13</v>
      </c>
      <c r="F14" t="s">
        <v>20</v>
      </c>
      <c r="G14">
        <v>0</v>
      </c>
      <c r="H14" s="1" t="str">
        <f>"t"&amp;Tables[[#This Row],[Entity Name]]</f>
        <v>tPlanAccountFunction</v>
      </c>
      <c r="I14" s="1" t="str">
        <f>"v"&amp;Tables[[#This Row],[Entity Name]]</f>
        <v>vPlanAccountFunction</v>
      </c>
      <c r="J14" t="s">
        <v>236</v>
      </c>
    </row>
    <row r="15" spans="1:10" x14ac:dyDescent="0.3">
      <c r="A15" t="s">
        <v>337</v>
      </c>
      <c r="B15" s="1" t="s">
        <v>34</v>
      </c>
      <c r="C15" t="s">
        <v>147</v>
      </c>
      <c r="D15" t="s">
        <v>8</v>
      </c>
      <c r="E15">
        <v>15</v>
      </c>
      <c r="F15" t="s">
        <v>20</v>
      </c>
      <c r="G15">
        <v>0</v>
      </c>
      <c r="H15" t="str">
        <f>"t"&amp;Tables[[#This Row],[Entity Name]]</f>
        <v>tCostCenter</v>
      </c>
      <c r="I15" t="str">
        <f>"v"&amp;Tables[[#This Row],[Entity Name]]</f>
        <v>vCostCenter</v>
      </c>
      <c r="J15" t="s">
        <v>236</v>
      </c>
    </row>
    <row r="16" spans="1:10" ht="28.8" x14ac:dyDescent="0.3">
      <c r="A16" t="s">
        <v>338</v>
      </c>
      <c r="B16" s="1" t="s">
        <v>510</v>
      </c>
      <c r="C16" t="s">
        <v>147</v>
      </c>
      <c r="D16" t="s">
        <v>8</v>
      </c>
      <c r="E16">
        <v>23</v>
      </c>
      <c r="F16" t="s">
        <v>20</v>
      </c>
      <c r="G16">
        <v>0</v>
      </c>
      <c r="H16" t="str">
        <f>"t"&amp;Tables[[#This Row],[Entity Name]]</f>
        <v>tDepreciationRule</v>
      </c>
      <c r="I16" t="str">
        <f>"v"&amp;Tables[[#This Row],[Entity Name]]</f>
        <v>vDepreciationRule</v>
      </c>
      <c r="J16" t="s">
        <v>236</v>
      </c>
    </row>
    <row r="17" spans="1:10" x14ac:dyDescent="0.3">
      <c r="A17" t="s">
        <v>339</v>
      </c>
      <c r="B17" s="1" t="s">
        <v>91</v>
      </c>
      <c r="C17" t="s">
        <v>147</v>
      </c>
      <c r="D17" t="s">
        <v>8</v>
      </c>
      <c r="E17">
        <v>24</v>
      </c>
      <c r="F17" t="s">
        <v>20</v>
      </c>
      <c r="G17">
        <v>0</v>
      </c>
      <c r="H17" t="str">
        <f>"t"&amp;Tables[[#This Row],[Entity Name]]</f>
        <v>tVATRule</v>
      </c>
      <c r="I17" t="str">
        <f>"v"&amp;Tables[[#This Row],[Entity Name]]</f>
        <v>vVATRule</v>
      </c>
      <c r="J17" t="s">
        <v>236</v>
      </c>
    </row>
    <row r="18" spans="1:10" x14ac:dyDescent="0.3">
      <c r="A18" t="s">
        <v>340</v>
      </c>
      <c r="B18" s="1" t="s">
        <v>272</v>
      </c>
      <c r="C18" t="s">
        <v>147</v>
      </c>
      <c r="D18" t="s">
        <v>8</v>
      </c>
      <c r="E18">
        <v>25</v>
      </c>
      <c r="F18" t="s">
        <v>20</v>
      </c>
      <c r="G18">
        <v>0</v>
      </c>
      <c r="H18" t="str">
        <f>"t"&amp;Tables[[#This Row],[Entity Name]]</f>
        <v>tReferenceGroup</v>
      </c>
      <c r="I18" t="str">
        <f>"v"&amp;Tables[[#This Row],[Entity Name]]</f>
        <v>vReferenceGroup</v>
      </c>
      <c r="J18" t="s">
        <v>236</v>
      </c>
    </row>
    <row r="19" spans="1:10" ht="28.8" x14ac:dyDescent="0.3">
      <c r="A19" t="s">
        <v>288</v>
      </c>
      <c r="B19" s="1" t="s">
        <v>162</v>
      </c>
      <c r="D19" t="s">
        <v>246</v>
      </c>
      <c r="E19">
        <v>26</v>
      </c>
      <c r="F19" t="s">
        <v>20</v>
      </c>
      <c r="G19">
        <v>0</v>
      </c>
      <c r="H19" t="str">
        <f>"t"&amp;Tables[[#This Row],[Entity Name]]</f>
        <v>tReferenceCode</v>
      </c>
      <c r="I19" t="str">
        <f>"v"&amp;Tables[[#This Row],[Entity Name]]</f>
        <v>vReferenceCode</v>
      </c>
      <c r="J19" t="s">
        <v>236</v>
      </c>
    </row>
    <row r="20" spans="1:10" x14ac:dyDescent="0.3">
      <c r="A20" t="s">
        <v>341</v>
      </c>
      <c r="B20" s="1" t="s">
        <v>202</v>
      </c>
      <c r="D20" t="s">
        <v>8</v>
      </c>
      <c r="E20">
        <v>27</v>
      </c>
      <c r="F20" t="s">
        <v>20</v>
      </c>
      <c r="G20">
        <v>0</v>
      </c>
      <c r="H20" t="str">
        <f>"t"&amp;Tables[[#This Row],[Entity Name]]</f>
        <v>tBookingRun</v>
      </c>
      <c r="I20" t="str">
        <f>"v"&amp;Tables[[#This Row],[Entity Name]]</f>
        <v>vBookingRun</v>
      </c>
      <c r="J20" t="s">
        <v>236</v>
      </c>
    </row>
    <row r="21" spans="1:10" ht="43.2" x14ac:dyDescent="0.3">
      <c r="A21" t="s">
        <v>342</v>
      </c>
      <c r="B21" s="1" t="s">
        <v>36</v>
      </c>
      <c r="D21" t="s">
        <v>8</v>
      </c>
      <c r="E21">
        <v>30</v>
      </c>
      <c r="F21" t="s">
        <v>20</v>
      </c>
      <c r="G21">
        <v>0</v>
      </c>
      <c r="H21" t="str">
        <f>"t"&amp;Tables[[#This Row],[Entity Name]]</f>
        <v>tPlan</v>
      </c>
      <c r="I21" t="str">
        <f>"v"&amp;Tables[[#This Row],[Entity Name]]</f>
        <v>vPlan</v>
      </c>
      <c r="J21" t="s">
        <v>236</v>
      </c>
    </row>
    <row r="22" spans="1:10" ht="28.8" x14ac:dyDescent="0.3">
      <c r="A22" t="s">
        <v>344</v>
      </c>
      <c r="B22" s="1" t="s">
        <v>51</v>
      </c>
      <c r="D22" t="s">
        <v>8</v>
      </c>
      <c r="E22">
        <v>31</v>
      </c>
      <c r="F22" t="s">
        <v>20</v>
      </c>
      <c r="G22">
        <v>0</v>
      </c>
      <c r="H22" t="str">
        <f>"t"&amp;Tables[[#This Row],[Entity Name]]</f>
        <v>tPlanGroup</v>
      </c>
      <c r="I22" t="str">
        <f>"v"&amp;Tables[[#This Row],[Entity Name]]</f>
        <v>vPlanGroup</v>
      </c>
      <c r="J22" t="s">
        <v>236</v>
      </c>
    </row>
    <row r="23" spans="1:10" ht="43.2" x14ac:dyDescent="0.3">
      <c r="A23" t="s">
        <v>343</v>
      </c>
      <c r="B23" s="1" t="s">
        <v>50</v>
      </c>
      <c r="D23" t="s">
        <v>8</v>
      </c>
      <c r="E23">
        <v>32</v>
      </c>
      <c r="F23" t="s">
        <v>20</v>
      </c>
      <c r="G23">
        <v>0</v>
      </c>
      <c r="H23" t="str">
        <f>"t"&amp;Tables[[#This Row],[Entity Name]]</f>
        <v>tPlanElement</v>
      </c>
      <c r="I23" t="str">
        <f>"v"&amp;Tables[[#This Row],[Entity Name]]</f>
        <v>vPlanElement</v>
      </c>
      <c r="J23" t="s">
        <v>236</v>
      </c>
    </row>
    <row r="24" spans="1:10" x14ac:dyDescent="0.3">
      <c r="A24" t="s">
        <v>450</v>
      </c>
      <c r="B24" s="1" t="s">
        <v>451</v>
      </c>
      <c r="D24" t="s">
        <v>35</v>
      </c>
      <c r="E24">
        <v>35</v>
      </c>
      <c r="F24" t="s">
        <v>20</v>
      </c>
      <c r="G24">
        <v>0</v>
      </c>
      <c r="H24" t="str">
        <f>"t"&amp;Tables[[#This Row],[Entity Name]]</f>
        <v>tPlanInflationRule</v>
      </c>
      <c r="I24" s="1" t="str">
        <f>"v"&amp;Tables[[#This Row],[Entity Name]]</f>
        <v>vPlanInflationRule</v>
      </c>
      <c r="J24" t="s">
        <v>236</v>
      </c>
    </row>
    <row r="25" spans="1:10" ht="28.8" x14ac:dyDescent="0.3">
      <c r="A25" t="s">
        <v>511</v>
      </c>
      <c r="B25" s="1" t="s">
        <v>111</v>
      </c>
      <c r="D25" s="1" t="s">
        <v>786</v>
      </c>
      <c r="E25">
        <v>40</v>
      </c>
      <c r="F25" t="s">
        <v>20</v>
      </c>
      <c r="G25">
        <v>0</v>
      </c>
      <c r="H25" t="str">
        <f>"t"&amp;Tables[[#This Row],[Entity Name]]</f>
        <v>tCurrencyExchangeRate</v>
      </c>
      <c r="I25" t="str">
        <f>"v"&amp;Tables[[#This Row],[Entity Name]]</f>
        <v>vCurrencyExchangeRate</v>
      </c>
      <c r="J25" t="s">
        <v>236</v>
      </c>
    </row>
    <row r="26" spans="1:10" ht="43.2" x14ac:dyDescent="0.3">
      <c r="A26" t="s">
        <v>347</v>
      </c>
      <c r="B26" s="1" t="s">
        <v>139</v>
      </c>
      <c r="D26" t="s">
        <v>35</v>
      </c>
      <c r="E26">
        <v>45</v>
      </c>
      <c r="F26" t="s">
        <v>20</v>
      </c>
      <c r="G26">
        <v>0</v>
      </c>
      <c r="H26" t="str">
        <f>"t"&amp;Tables[[#This Row],[Entity Name]]</f>
        <v>tPlanParameter</v>
      </c>
      <c r="I26" t="str">
        <f>"v"&amp;Tables[[#This Row],[Entity Name]]</f>
        <v>vPlanParameter</v>
      </c>
      <c r="J26" t="s">
        <v>236</v>
      </c>
    </row>
    <row r="27" spans="1:10" ht="57.6" x14ac:dyDescent="0.3">
      <c r="A27" t="s">
        <v>345</v>
      </c>
      <c r="B27" s="1" t="s">
        <v>90</v>
      </c>
      <c r="D27" t="s">
        <v>35</v>
      </c>
      <c r="E27">
        <v>50</v>
      </c>
      <c r="F27" t="s">
        <v>20</v>
      </c>
      <c r="G27">
        <v>0</v>
      </c>
      <c r="H27" t="str">
        <f>"t"&amp;Tables[[#This Row],[Entity Name]]</f>
        <v>tPlanAllocationSchedule</v>
      </c>
      <c r="I27" t="str">
        <f>"v"&amp;Tables[[#This Row],[Entity Name]]</f>
        <v>vPlanAllocationSchedule</v>
      </c>
      <c r="J27" t="s">
        <v>236</v>
      </c>
    </row>
    <row r="28" spans="1:10" x14ac:dyDescent="0.3">
      <c r="A28" t="s">
        <v>420</v>
      </c>
      <c r="B28" s="1" t="s">
        <v>421</v>
      </c>
      <c r="D28" t="s">
        <v>63</v>
      </c>
      <c r="E28">
        <v>51</v>
      </c>
      <c r="F28" t="s">
        <v>20</v>
      </c>
      <c r="G28">
        <v>0</v>
      </c>
      <c r="H28" t="str">
        <f>"t"&amp;Tables[[#This Row],[Entity Name]]</f>
        <v>tPlanAllocationScheduleItems</v>
      </c>
      <c r="I28" t="str">
        <f>"v"&amp;Tables[[#This Row],[Entity Name]]</f>
        <v>vPlanAllocationScheduleItems</v>
      </c>
      <c r="J28" t="s">
        <v>236</v>
      </c>
    </row>
    <row r="29" spans="1:10" x14ac:dyDescent="0.3">
      <c r="A29" t="s">
        <v>690</v>
      </c>
      <c r="B29" s="1" t="s">
        <v>645</v>
      </c>
      <c r="D29" t="s">
        <v>35</v>
      </c>
      <c r="E29">
        <v>52</v>
      </c>
      <c r="F29" t="s">
        <v>20</v>
      </c>
      <c r="G29">
        <v>0</v>
      </c>
      <c r="H29" t="str">
        <f>"t"&amp;Tables[[#This Row],[Entity Name]]</f>
        <v>tPlanHRTariff</v>
      </c>
      <c r="I29" s="1" t="str">
        <f>"v"&amp;Tables[[#This Row],[Entity Name]]</f>
        <v>vPlanHRTariff</v>
      </c>
      <c r="J29" t="s">
        <v>469</v>
      </c>
    </row>
    <row r="30" spans="1:10" x14ac:dyDescent="0.3">
      <c r="A30" t="s">
        <v>691</v>
      </c>
      <c r="B30" s="1" t="s">
        <v>645</v>
      </c>
      <c r="D30" t="s">
        <v>694</v>
      </c>
      <c r="E30">
        <v>53</v>
      </c>
      <c r="F30" t="s">
        <v>20</v>
      </c>
      <c r="G30">
        <v>0</v>
      </c>
      <c r="H30" t="str">
        <f>"t"&amp;Tables[[#This Row],[Entity Name]]</f>
        <v>tPlanHRTariffDetail</v>
      </c>
      <c r="I30" s="1" t="str">
        <f>"v"&amp;Tables[[#This Row],[Entity Name]]</f>
        <v>vPlanHRTariffDetail</v>
      </c>
      <c r="J30" t="s">
        <v>469</v>
      </c>
    </row>
    <row r="31" spans="1:10" ht="28.8" x14ac:dyDescent="0.3">
      <c r="A31" t="s">
        <v>708</v>
      </c>
      <c r="B31" s="1" t="s">
        <v>646</v>
      </c>
      <c r="D31" t="s">
        <v>35</v>
      </c>
      <c r="E31">
        <v>54</v>
      </c>
      <c r="F31" t="s">
        <v>20</v>
      </c>
      <c r="G31">
        <v>0</v>
      </c>
      <c r="H31" t="str">
        <f>"t"&amp;Tables[[#This Row],[Entity Name]]</f>
        <v>tPlanHRExpenseGroup</v>
      </c>
      <c r="I31" s="1" t="str">
        <f>"v"&amp;Tables[[#This Row],[Entity Name]]</f>
        <v>vPlanHRExpenseGroup</v>
      </c>
      <c r="J31" t="s">
        <v>469</v>
      </c>
    </row>
    <row r="32" spans="1:10" x14ac:dyDescent="0.3">
      <c r="A32" t="s">
        <v>692</v>
      </c>
      <c r="B32" s="1"/>
      <c r="D32" t="s">
        <v>709</v>
      </c>
      <c r="E32">
        <v>55</v>
      </c>
      <c r="F32" t="s">
        <v>20</v>
      </c>
      <c r="G32">
        <v>0</v>
      </c>
      <c r="H32" t="str">
        <f>"t"&amp;Tables[[#This Row],[Entity Name]]</f>
        <v>tPlanHRExpense</v>
      </c>
      <c r="I32" s="1" t="str">
        <f>"v"&amp;Tables[[#This Row],[Entity Name]]</f>
        <v>vPlanHRExpense</v>
      </c>
      <c r="J32" t="s">
        <v>469</v>
      </c>
    </row>
    <row r="33" spans="1:10" ht="28.8" x14ac:dyDescent="0.3">
      <c r="A33" t="s">
        <v>346</v>
      </c>
      <c r="B33" s="1" t="s">
        <v>118</v>
      </c>
      <c r="D33" s="1" t="s">
        <v>462</v>
      </c>
      <c r="E33">
        <v>56</v>
      </c>
      <c r="F33" t="s">
        <v>20</v>
      </c>
      <c r="G33">
        <v>0</v>
      </c>
      <c r="H33" t="str">
        <f>"t"&amp;Tables[[#This Row],[Entity Name]]</f>
        <v>tPlanElementInstance</v>
      </c>
      <c r="I33" t="str">
        <f>"v"&amp;Tables[[#This Row],[Entity Name]]</f>
        <v>vPlanElementInstance</v>
      </c>
      <c r="J33" t="s">
        <v>236</v>
      </c>
    </row>
    <row r="34" spans="1:10" x14ac:dyDescent="0.3">
      <c r="A34" t="s">
        <v>643</v>
      </c>
      <c r="B34" s="1" t="s">
        <v>52</v>
      </c>
      <c r="D34" t="s">
        <v>117</v>
      </c>
      <c r="E34">
        <v>60</v>
      </c>
      <c r="F34" t="s">
        <v>20</v>
      </c>
      <c r="G34">
        <v>0</v>
      </c>
      <c r="H34" t="str">
        <f>"t"&amp;Tables[[#This Row],[Entity Name]]</f>
        <v>tPlanElementContract</v>
      </c>
      <c r="I34" t="str">
        <f>"v"&amp;Tables[[#This Row],[Entity Name]]</f>
        <v>vPlanElementContract</v>
      </c>
      <c r="J34" t="s">
        <v>236</v>
      </c>
    </row>
    <row r="35" spans="1:10" x14ac:dyDescent="0.3">
      <c r="A35" t="s">
        <v>632</v>
      </c>
      <c r="B35" s="1" t="s">
        <v>633</v>
      </c>
      <c r="D35" t="s">
        <v>117</v>
      </c>
      <c r="E35">
        <v>61</v>
      </c>
      <c r="F35" t="s">
        <v>20</v>
      </c>
      <c r="G35">
        <v>0</v>
      </c>
      <c r="H35" t="str">
        <f>"t"&amp;Tables[[#This Row],[Entity Name]]</f>
        <v>tPlanElementBooking</v>
      </c>
      <c r="I35" t="str">
        <f>"v"&amp;Tables[[#This Row],[Entity Name]]</f>
        <v>vPlanElementBooking</v>
      </c>
      <c r="J35" t="s">
        <v>236</v>
      </c>
    </row>
    <row r="36" spans="1:10" x14ac:dyDescent="0.3">
      <c r="A36" t="s">
        <v>693</v>
      </c>
      <c r="B36" s="1" t="s">
        <v>644</v>
      </c>
      <c r="D36" t="s">
        <v>117</v>
      </c>
      <c r="E36">
        <v>62</v>
      </c>
      <c r="F36" t="s">
        <v>20</v>
      </c>
      <c r="G36">
        <v>0</v>
      </c>
      <c r="H36" t="str">
        <f>"t"&amp;Tables[[#This Row],[Entity Name]]</f>
        <v>tPlanElementHR</v>
      </c>
      <c r="I36" s="1" t="str">
        <f>"v"&amp;Tables[[#This Row],[Entity Name]]</f>
        <v>vPlanElementHR</v>
      </c>
      <c r="J36" t="s">
        <v>469</v>
      </c>
    </row>
    <row r="37" spans="1:10" x14ac:dyDescent="0.3">
      <c r="A37" t="s">
        <v>348</v>
      </c>
      <c r="B37" s="1" t="s">
        <v>164</v>
      </c>
      <c r="D37" t="s">
        <v>35</v>
      </c>
      <c r="E37">
        <v>65</v>
      </c>
      <c r="F37" t="s">
        <v>20</v>
      </c>
      <c r="G37">
        <v>0</v>
      </c>
      <c r="H37" t="str">
        <f>"t"&amp;Tables[[#This Row],[Entity Name]]</f>
        <v>tPlanTransaction</v>
      </c>
      <c r="I37" t="str">
        <f>"v"&amp;Tables[[#This Row],[Entity Name]]</f>
        <v>vPlanTransaction</v>
      </c>
      <c r="J37" t="s">
        <v>236</v>
      </c>
    </row>
    <row r="38" spans="1:10" ht="28.8" x14ac:dyDescent="0.3">
      <c r="A38" t="s">
        <v>349</v>
      </c>
      <c r="B38" s="1" t="s">
        <v>160</v>
      </c>
      <c r="D38" t="s">
        <v>201</v>
      </c>
      <c r="E38">
        <v>70</v>
      </c>
      <c r="F38" t="s">
        <v>20</v>
      </c>
      <c r="G38">
        <v>0</v>
      </c>
      <c r="H38" t="str">
        <f>"t"&amp;Tables[[#This Row],[Entity Name]]</f>
        <v>tBookRecord</v>
      </c>
      <c r="I38" t="str">
        <f>"v"&amp;Tables[[#This Row],[Entity Name]]</f>
        <v>vBookRecord</v>
      </c>
      <c r="J38" t="s">
        <v>236</v>
      </c>
    </row>
    <row r="39" spans="1:10" ht="28.8" x14ac:dyDescent="0.3">
      <c r="A39" t="s">
        <v>350</v>
      </c>
      <c r="B39" s="1" t="s">
        <v>161</v>
      </c>
      <c r="D39" t="s">
        <v>156</v>
      </c>
      <c r="E39">
        <v>71</v>
      </c>
      <c r="F39" t="s">
        <v>20</v>
      </c>
      <c r="G39">
        <v>0</v>
      </c>
      <c r="H39" t="str">
        <f>"t"&amp;Tables[[#This Row],[Entity Name]]</f>
        <v>tBookTransaction</v>
      </c>
      <c r="I39" t="str">
        <f>"v"&amp;Tables[[#This Row],[Entity Name]]</f>
        <v>vBookTransaction</v>
      </c>
      <c r="J39" t="s">
        <v>236</v>
      </c>
    </row>
    <row r="40" spans="1:10" x14ac:dyDescent="0.3">
      <c r="B40" s="1"/>
      <c r="H40" t="str">
        <f>"t"&amp;Tables[[#This Row],[Entity Name]]</f>
        <v>t</v>
      </c>
      <c r="I40" s="1" t="str">
        <f>"v"&amp;Tables[[#This Row],[Entity Name]]</f>
        <v>v</v>
      </c>
    </row>
  </sheetData>
  <dataValidations count="2">
    <dataValidation type="list" allowBlank="1" showInputMessage="1" showErrorMessage="1" sqref="F2:F40" xr:uid="{076D77D5-9704-4063-8413-430C44FC1DFF}">
      <formula1>"Yes"</formula1>
    </dataValidation>
    <dataValidation type="list" allowBlank="1" showInputMessage="1" showErrorMessage="1" sqref="J2:J40"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325"/>
  <sheetViews>
    <sheetView topLeftCell="A76" zoomScale="85" zoomScaleNormal="85" workbookViewId="0">
      <selection activeCell="D90" sqref="D90"/>
    </sheetView>
  </sheetViews>
  <sheetFormatPr defaultColWidth="11.44140625" defaultRowHeight="14.4" outlineLevelCol="1" x14ac:dyDescent="0.3"/>
  <cols>
    <col min="1" max="1" width="5.5546875" customWidth="1"/>
    <col min="2" max="2" width="28.109375" bestFit="1" customWidth="1"/>
    <col min="3" max="3" width="29.77734375" bestFit="1" customWidth="1"/>
    <col min="4" max="4" width="89" customWidth="1" outlineLevel="1"/>
    <col min="5" max="5" width="17.33203125" bestFit="1" customWidth="1"/>
    <col min="6" max="6" width="16" bestFit="1" customWidth="1"/>
    <col min="7" max="7" width="7" bestFit="1" customWidth="1"/>
    <col min="8" max="8" width="10.88671875" bestFit="1" customWidth="1"/>
    <col min="9" max="9" width="15.44140625" bestFit="1" customWidth="1"/>
    <col min="10" max="10" width="10" bestFit="1" customWidth="1"/>
    <col min="11" max="11" width="17.6640625" style="1" customWidth="1"/>
    <col min="12" max="12" width="23" bestFit="1" customWidth="1"/>
    <col min="13" max="13" width="17.33203125" bestFit="1" customWidth="1"/>
    <col min="14" max="14" width="17.33203125" customWidth="1"/>
    <col min="15" max="15" width="16.5546875" bestFit="1" customWidth="1"/>
    <col min="16" max="16" width="29" bestFit="1" customWidth="1"/>
    <col min="18" max="19" width="19.44140625" style="1" bestFit="1" customWidth="1"/>
    <col min="20" max="20" width="17.33203125" bestFit="1" customWidth="1"/>
  </cols>
  <sheetData>
    <row r="1" spans="1:22" ht="28.8" x14ac:dyDescent="0.3">
      <c r="A1" t="s">
        <v>123</v>
      </c>
      <c r="B1" t="s">
        <v>0</v>
      </c>
      <c r="C1" t="s">
        <v>1</v>
      </c>
      <c r="D1" s="1" t="s">
        <v>3</v>
      </c>
      <c r="E1" s="1" t="s">
        <v>31</v>
      </c>
      <c r="F1" s="1" t="s">
        <v>235</v>
      </c>
      <c r="G1" t="s">
        <v>24</v>
      </c>
      <c r="H1" t="s">
        <v>2</v>
      </c>
      <c r="I1" t="s">
        <v>13</v>
      </c>
      <c r="J1" t="s">
        <v>169</v>
      </c>
      <c r="K1" s="1" t="s">
        <v>132</v>
      </c>
      <c r="L1" s="1" t="s">
        <v>400</v>
      </c>
      <c r="M1" t="s">
        <v>401</v>
      </c>
      <c r="N1" t="s">
        <v>402</v>
      </c>
      <c r="O1" t="s">
        <v>141</v>
      </c>
      <c r="P1" t="s">
        <v>48</v>
      </c>
      <c r="Q1" t="s">
        <v>245</v>
      </c>
      <c r="R1" t="s">
        <v>274</v>
      </c>
      <c r="S1" t="s">
        <v>354</v>
      </c>
      <c r="T1" t="s">
        <v>357</v>
      </c>
      <c r="U1" t="s">
        <v>358</v>
      </c>
      <c r="V1" t="s">
        <v>324</v>
      </c>
    </row>
    <row r="2" spans="1:22" x14ac:dyDescent="0.3">
      <c r="A2">
        <v>1</v>
      </c>
      <c r="B2" t="s">
        <v>145</v>
      </c>
      <c r="C2" t="s">
        <v>5</v>
      </c>
      <c r="D2" s="1" t="s">
        <v>174</v>
      </c>
      <c r="E2" t="s">
        <v>488</v>
      </c>
      <c r="F2" t="s">
        <v>487</v>
      </c>
      <c r="G2" s="2"/>
      <c r="L2" s="1"/>
      <c r="P2" s="1"/>
      <c r="Q2" t="s">
        <v>25</v>
      </c>
      <c r="R2" t="s">
        <v>20</v>
      </c>
      <c r="S2"/>
      <c r="V2" s="1"/>
    </row>
    <row r="3" spans="1:22" ht="28.8" x14ac:dyDescent="0.3">
      <c r="A3">
        <v>2</v>
      </c>
      <c r="B3" t="s">
        <v>145</v>
      </c>
      <c r="C3" t="s">
        <v>167</v>
      </c>
      <c r="D3" s="1" t="s">
        <v>175</v>
      </c>
      <c r="E3" t="s">
        <v>488</v>
      </c>
      <c r="F3" t="s">
        <v>487</v>
      </c>
      <c r="G3" s="2"/>
      <c r="H3" t="s">
        <v>20</v>
      </c>
      <c r="L3" s="1" t="s">
        <v>336</v>
      </c>
      <c r="M3" t="str">
        <f>IF(Fields[[#This Row],[Reference Entity]]&lt;&gt;"","t" &amp;Fields[[#This Row],[Reference Entity]],"")</f>
        <v>tAccountGroup</v>
      </c>
      <c r="N3" t="str">
        <f>IF(Fields[[#This Row],[Reference Entity]]&lt;&gt;"",RIGHT(Fields[[#This Row],[Column Name]],LEN(Fields[[#This Row],[Column Name]])-2),"")</f>
        <v>AccountGroup</v>
      </c>
      <c r="O3" t="s">
        <v>142</v>
      </c>
      <c r="P3" s="1"/>
      <c r="Q3" t="str">
        <f>Fields[[#This Row],[Column Name]]</f>
        <v>idAccountGroup</v>
      </c>
      <c r="R3"/>
      <c r="S3"/>
      <c r="V3" s="1"/>
    </row>
    <row r="4" spans="1:22" ht="28.8" x14ac:dyDescent="0.3">
      <c r="A4">
        <v>3</v>
      </c>
      <c r="B4" t="s">
        <v>145</v>
      </c>
      <c r="C4" t="s">
        <v>168</v>
      </c>
      <c r="D4" s="1" t="s">
        <v>176</v>
      </c>
      <c r="E4" t="s">
        <v>488</v>
      </c>
      <c r="F4" t="s">
        <v>487</v>
      </c>
      <c r="G4" s="2"/>
      <c r="H4" t="s">
        <v>20</v>
      </c>
      <c r="L4" s="1" t="s">
        <v>335</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381</v>
      </c>
      <c r="V4" s="1"/>
    </row>
    <row r="5" spans="1:22" x14ac:dyDescent="0.3">
      <c r="A5">
        <v>4</v>
      </c>
      <c r="B5" t="s">
        <v>145</v>
      </c>
      <c r="C5" t="s">
        <v>283</v>
      </c>
      <c r="D5" s="1" t="s">
        <v>177</v>
      </c>
      <c r="E5" t="s">
        <v>16</v>
      </c>
      <c r="F5" t="s">
        <v>4</v>
      </c>
      <c r="G5" s="2"/>
      <c r="J5" s="4" t="s">
        <v>170</v>
      </c>
      <c r="L5" s="1" t="s">
        <v>382</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43.2" x14ac:dyDescent="0.3">
      <c r="A6">
        <v>5</v>
      </c>
      <c r="B6" t="s">
        <v>145</v>
      </c>
      <c r="C6" t="s">
        <v>171</v>
      </c>
      <c r="D6" s="1" t="s">
        <v>846</v>
      </c>
      <c r="E6" t="s">
        <v>124</v>
      </c>
      <c r="F6" t="s">
        <v>233</v>
      </c>
      <c r="G6" s="2"/>
      <c r="I6">
        <v>0</v>
      </c>
      <c r="K6" t="s">
        <v>171</v>
      </c>
      <c r="L6" s="1" t="s">
        <v>382</v>
      </c>
      <c r="M6" t="str">
        <f>IF(Fields[[#This Row],[Reference Entity]]&lt;&gt;"","t" &amp;Fields[[#This Row],[Reference Entity]],"")</f>
        <v/>
      </c>
      <c r="N6" t="str">
        <f>IF(Fields[[#This Row],[Reference Entity]]&lt;&gt;"",RIGHT(Fields[[#This Row],[Column Name]],LEN(Fields[[#This Row],[Column Name]])-2),"")</f>
        <v/>
      </c>
      <c r="P6" s="1"/>
      <c r="R6"/>
      <c r="S6"/>
      <c r="V6" s="1"/>
    </row>
    <row r="7" spans="1:22" x14ac:dyDescent="0.3">
      <c r="A7">
        <v>6</v>
      </c>
      <c r="B7" t="s">
        <v>145</v>
      </c>
      <c r="C7" t="s">
        <v>316</v>
      </c>
      <c r="D7" s="1" t="s">
        <v>178</v>
      </c>
      <c r="E7" t="s">
        <v>19</v>
      </c>
      <c r="F7" t="s">
        <v>239</v>
      </c>
      <c r="G7" s="2">
        <v>255</v>
      </c>
      <c r="L7" s="1" t="s">
        <v>382</v>
      </c>
      <c r="M7" t="str">
        <f>IF(Fields[[#This Row],[Reference Entity]]&lt;&gt;"","t" &amp;Fields[[#This Row],[Reference Entity]],"")</f>
        <v/>
      </c>
      <c r="N7" t="str">
        <f>IF(Fields[[#This Row],[Reference Entity]]&lt;&gt;"",RIGHT(Fields[[#This Row],[Column Name]],LEN(Fields[[#This Row],[Column Name]])-2),"")</f>
        <v/>
      </c>
      <c r="P7" s="1"/>
      <c r="R7"/>
      <c r="S7"/>
      <c r="V7" s="1"/>
    </row>
    <row r="8" spans="1:22" x14ac:dyDescent="0.3">
      <c r="A8">
        <v>7</v>
      </c>
      <c r="B8" t="s">
        <v>145</v>
      </c>
      <c r="C8" t="s">
        <v>314</v>
      </c>
      <c r="D8" s="1" t="s">
        <v>179</v>
      </c>
      <c r="E8" t="s">
        <v>19</v>
      </c>
      <c r="F8" t="s">
        <v>239</v>
      </c>
      <c r="G8" s="2">
        <v>255</v>
      </c>
      <c r="H8" t="s">
        <v>20</v>
      </c>
      <c r="L8" s="1" t="s">
        <v>382</v>
      </c>
      <c r="M8" t="str">
        <f>IF(Fields[[#This Row],[Reference Entity]]&lt;&gt;"","t" &amp;Fields[[#This Row],[Reference Entity]],"")</f>
        <v/>
      </c>
      <c r="N8" t="str">
        <f>IF(Fields[[#This Row],[Reference Entity]]&lt;&gt;"",RIGHT(Fields[[#This Row],[Column Name]],LEN(Fields[[#This Row],[Column Name]])-2),"")</f>
        <v/>
      </c>
      <c r="P8" s="1"/>
      <c r="R8"/>
      <c r="S8"/>
      <c r="V8" s="1"/>
    </row>
    <row r="9" spans="1:22" x14ac:dyDescent="0.3">
      <c r="A9">
        <v>8</v>
      </c>
      <c r="B9" t="s">
        <v>145</v>
      </c>
      <c r="C9" t="s">
        <v>172</v>
      </c>
      <c r="D9" s="1" t="s">
        <v>173</v>
      </c>
      <c r="E9" t="s">
        <v>18</v>
      </c>
      <c r="F9" t="s">
        <v>6</v>
      </c>
      <c r="G9" s="2"/>
      <c r="I9">
        <v>0</v>
      </c>
      <c r="L9" s="1" t="s">
        <v>382</v>
      </c>
      <c r="M9" t="str">
        <f>IF(Fields[[#This Row],[Reference Entity]]&lt;&gt;"","t" &amp;Fields[[#This Row],[Reference Entity]],"")</f>
        <v/>
      </c>
      <c r="N9" t="str">
        <f>IF(Fields[[#This Row],[Reference Entity]]&lt;&gt;"",RIGHT(Fields[[#This Row],[Column Name]],LEN(Fields[[#This Row],[Column Name]])-2),"")</f>
        <v/>
      </c>
      <c r="P9" s="1"/>
      <c r="R9"/>
      <c r="S9"/>
      <c r="V9" s="1"/>
    </row>
    <row r="10" spans="1:22" x14ac:dyDescent="0.3">
      <c r="A10">
        <v>9</v>
      </c>
      <c r="B10" t="s">
        <v>145</v>
      </c>
      <c r="C10" t="s">
        <v>831</v>
      </c>
      <c r="D10" s="1" t="s">
        <v>844</v>
      </c>
      <c r="E10" t="s">
        <v>488</v>
      </c>
      <c r="F10" t="s">
        <v>487</v>
      </c>
      <c r="G10" s="2"/>
      <c r="H10" t="s">
        <v>20</v>
      </c>
      <c r="L10" s="1" t="s">
        <v>817</v>
      </c>
      <c r="M10" t="str">
        <f>IF(Fields[[#This Row],[Reference Entity]]&lt;&gt;"","t" &amp;Fields[[#This Row],[Reference Entity]],"")</f>
        <v>tAccountSection</v>
      </c>
      <c r="N10" t="s">
        <v>817</v>
      </c>
      <c r="P10" s="1"/>
      <c r="R10"/>
      <c r="S10"/>
      <c r="V10" s="1"/>
    </row>
    <row r="11" spans="1:22" x14ac:dyDescent="0.3">
      <c r="A11">
        <v>10</v>
      </c>
      <c r="B11" t="s">
        <v>145</v>
      </c>
      <c r="C11" t="s">
        <v>836</v>
      </c>
      <c r="D11" s="1" t="s">
        <v>845</v>
      </c>
      <c r="E11" t="s">
        <v>488</v>
      </c>
      <c r="F11" t="s">
        <v>487</v>
      </c>
      <c r="G11" s="2"/>
      <c r="H11" t="s">
        <v>20</v>
      </c>
      <c r="L11" s="1" t="s">
        <v>819</v>
      </c>
      <c r="M11" t="str">
        <f>IF(Fields[[#This Row],[Reference Entity]]&lt;&gt;"","t" &amp;Fields[[#This Row],[Reference Entity]],"")</f>
        <v>tAccountMainGroup</v>
      </c>
      <c r="N11" t="s">
        <v>819</v>
      </c>
      <c r="P11" s="1"/>
      <c r="R11"/>
      <c r="S11"/>
      <c r="V11" s="1"/>
    </row>
    <row r="12" spans="1:22" x14ac:dyDescent="0.3">
      <c r="A12">
        <v>1</v>
      </c>
      <c r="B12" t="s">
        <v>165</v>
      </c>
      <c r="C12" t="s">
        <v>5</v>
      </c>
      <c r="D12" s="1" t="s">
        <v>174</v>
      </c>
      <c r="E12" t="s">
        <v>488</v>
      </c>
      <c r="F12" t="s">
        <v>487</v>
      </c>
      <c r="G12" s="2"/>
      <c r="L12" s="1"/>
      <c r="P12" s="1"/>
      <c r="Q12" t="str">
        <f>Fields[[#This Row],[Column Name]]</f>
        <v>idClient</v>
      </c>
      <c r="R12"/>
      <c r="S12"/>
      <c r="V12" s="1"/>
    </row>
    <row r="13" spans="1:22" x14ac:dyDescent="0.3">
      <c r="A13">
        <v>2</v>
      </c>
      <c r="B13" t="s">
        <v>165</v>
      </c>
      <c r="C13" t="s">
        <v>836</v>
      </c>
      <c r="D13" s="1" t="s">
        <v>837</v>
      </c>
      <c r="E13" t="s">
        <v>488</v>
      </c>
      <c r="F13" t="s">
        <v>487</v>
      </c>
      <c r="G13" s="2"/>
      <c r="H13" t="s">
        <v>20</v>
      </c>
      <c r="L13" s="1" t="s">
        <v>819</v>
      </c>
      <c r="M13" t="str">
        <f>IF(Fields[[#This Row],[Reference Entity]]&lt;&gt;"","t" &amp;Fields[[#This Row],[Reference Entity]],"")</f>
        <v>tAccountMainGroup</v>
      </c>
      <c r="N13" t="s">
        <v>819</v>
      </c>
      <c r="O13" t="s">
        <v>142</v>
      </c>
      <c r="P13" s="1"/>
      <c r="R13"/>
      <c r="S13"/>
      <c r="V13" s="1"/>
    </row>
    <row r="14" spans="1:22" x14ac:dyDescent="0.3">
      <c r="A14">
        <v>2</v>
      </c>
      <c r="B14" t="s">
        <v>165</v>
      </c>
      <c r="C14" t="s">
        <v>317</v>
      </c>
      <c r="D14" s="1" t="s">
        <v>178</v>
      </c>
      <c r="E14" t="s">
        <v>19</v>
      </c>
      <c r="F14" t="s">
        <v>239</v>
      </c>
      <c r="G14" s="2">
        <v>255</v>
      </c>
      <c r="J14" s="1"/>
      <c r="L14" s="1" t="s">
        <v>382</v>
      </c>
      <c r="M14" t="str">
        <f>IF(Fields[[#This Row],[Reference Entity]]&lt;&gt;"","t" &amp;Fields[[#This Row],[Reference Entity]],"")</f>
        <v/>
      </c>
      <c r="N14" t="str">
        <f>IF(Fields[[#This Row],[Reference Entity]]&lt;&gt;"",RIGHT(Fields[[#This Row],[Column Name]],LEN(Fields[[#This Row],[Column Name]])-2),"")</f>
        <v/>
      </c>
      <c r="P14" s="1"/>
      <c r="Q14" s="1"/>
      <c r="T14" s="1"/>
      <c r="U14" s="1"/>
    </row>
    <row r="15" spans="1:22" x14ac:dyDescent="0.3">
      <c r="A15">
        <v>3</v>
      </c>
      <c r="B15" t="s">
        <v>165</v>
      </c>
      <c r="C15" t="s">
        <v>315</v>
      </c>
      <c r="D15" s="1" t="s">
        <v>179</v>
      </c>
      <c r="E15" t="s">
        <v>19</v>
      </c>
      <c r="F15" t="s">
        <v>239</v>
      </c>
      <c r="G15" s="2">
        <v>255</v>
      </c>
      <c r="H15" t="s">
        <v>20</v>
      </c>
      <c r="J15" s="1"/>
      <c r="L15" s="1" t="s">
        <v>382</v>
      </c>
      <c r="M15" t="str">
        <f>IF(Fields[[#This Row],[Reference Entity]]&lt;&gt;"","t" &amp;Fields[[#This Row],[Reference Entity]],"")</f>
        <v/>
      </c>
      <c r="N15" t="str">
        <f>IF(Fields[[#This Row],[Reference Entity]]&lt;&gt;"",RIGHT(Fields[[#This Row],[Column Name]],LEN(Fields[[#This Row],[Column Name]])-2),"")</f>
        <v/>
      </c>
      <c r="P15" s="1"/>
      <c r="Q15" s="1"/>
      <c r="T15" s="1"/>
      <c r="U15" s="1"/>
    </row>
    <row r="16" spans="1:22" x14ac:dyDescent="0.3">
      <c r="A16">
        <v>4</v>
      </c>
      <c r="B16" t="s">
        <v>165</v>
      </c>
      <c r="C16" t="s">
        <v>838</v>
      </c>
      <c r="D16" s="1" t="s">
        <v>843</v>
      </c>
      <c r="E16" t="s">
        <v>30</v>
      </c>
      <c r="F16" t="s">
        <v>4</v>
      </c>
      <c r="G16" s="2"/>
      <c r="I16">
        <v>0</v>
      </c>
      <c r="J16" s="1"/>
      <c r="L16" s="1"/>
      <c r="M16" t="str">
        <f>IF(Fields[[#This Row],[Reference Entity]]&lt;&gt;"","t" &amp;Fields[[#This Row],[Reference Entity]],"")</f>
        <v/>
      </c>
      <c r="P16" s="1"/>
      <c r="Q16" s="1"/>
      <c r="T16" s="1"/>
      <c r="U16" s="1"/>
    </row>
    <row r="17" spans="1:22" x14ac:dyDescent="0.3">
      <c r="A17">
        <v>5</v>
      </c>
      <c r="B17" t="s">
        <v>165</v>
      </c>
      <c r="C17" t="s">
        <v>743</v>
      </c>
      <c r="D17" s="1"/>
      <c r="E17" t="s">
        <v>16</v>
      </c>
      <c r="F17" t="s">
        <v>4</v>
      </c>
      <c r="G17" s="2"/>
      <c r="I17">
        <v>0</v>
      </c>
      <c r="J17" s="1"/>
      <c r="L17" s="1"/>
      <c r="M17" t="str">
        <f>IF(Fields[[#This Row],[Reference Entity]]&lt;&gt;"","t" &amp;Fields[[#This Row],[Reference Entity]],"")</f>
        <v/>
      </c>
      <c r="P17" s="1"/>
      <c r="Q17" s="1"/>
      <c r="T17" s="1"/>
      <c r="U17" s="1"/>
    </row>
    <row r="18" spans="1:22" x14ac:dyDescent="0.3">
      <c r="A18">
        <v>6</v>
      </c>
      <c r="B18" t="s">
        <v>165</v>
      </c>
      <c r="C18" t="s">
        <v>744</v>
      </c>
      <c r="D18" s="1"/>
      <c r="E18" t="s">
        <v>16</v>
      </c>
      <c r="F18" t="s">
        <v>4</v>
      </c>
      <c r="G18" s="2"/>
      <c r="I18">
        <v>0</v>
      </c>
      <c r="J18" s="1"/>
      <c r="L18" s="1"/>
      <c r="M18" t="str">
        <f>IF(Fields[[#This Row],[Reference Entity]]&lt;&gt;"","t" &amp;Fields[[#This Row],[Reference Entity]],"")</f>
        <v/>
      </c>
      <c r="P18" s="1"/>
      <c r="Q18" s="1"/>
      <c r="T18" s="1"/>
      <c r="U18" s="1"/>
    </row>
    <row r="19" spans="1:22" ht="43.2" x14ac:dyDescent="0.3">
      <c r="A19">
        <v>7</v>
      </c>
      <c r="B19" t="s">
        <v>165</v>
      </c>
      <c r="C19" t="s">
        <v>745</v>
      </c>
      <c r="D19" s="1" t="s">
        <v>848</v>
      </c>
      <c r="E19" t="s">
        <v>488</v>
      </c>
      <c r="F19" t="s">
        <v>487</v>
      </c>
      <c r="G19" s="2"/>
      <c r="H19" t="s">
        <v>20</v>
      </c>
      <c r="J19" s="1"/>
      <c r="L19" s="1"/>
      <c r="M19" t="str">
        <f>IF(Fields[[#This Row],[Reference Entity]]&lt;&gt;"","t" &amp;Fields[[#This Row],[Reference Entity]],"")</f>
        <v/>
      </c>
      <c r="P19" s="1"/>
      <c r="Q19" s="1"/>
      <c r="T19" s="1"/>
      <c r="U19" s="1"/>
    </row>
    <row r="20" spans="1:22" x14ac:dyDescent="0.3">
      <c r="A20">
        <v>8</v>
      </c>
      <c r="B20" t="s">
        <v>165</v>
      </c>
      <c r="C20" t="s">
        <v>746</v>
      </c>
      <c r="D20" s="9" t="s">
        <v>847</v>
      </c>
      <c r="E20" t="s">
        <v>124</v>
      </c>
      <c r="F20" t="s">
        <v>233</v>
      </c>
      <c r="G20" s="2"/>
      <c r="I20">
        <v>0</v>
      </c>
      <c r="K20" t="s">
        <v>171</v>
      </c>
      <c r="L20" s="1"/>
      <c r="M20" t="str">
        <f>IF(Fields[[#This Row],[Reference Entity]]&lt;&gt;"","t" &amp;Fields[[#This Row],[Reference Entity]],"")</f>
        <v/>
      </c>
      <c r="P20" s="1"/>
      <c r="Q20" s="1"/>
      <c r="T20" s="1"/>
      <c r="U20" s="1"/>
    </row>
    <row r="21" spans="1:22" x14ac:dyDescent="0.3">
      <c r="A21">
        <v>1</v>
      </c>
      <c r="B21" t="s">
        <v>822</v>
      </c>
      <c r="C21" t="s">
        <v>5</v>
      </c>
      <c r="D21" s="1" t="s">
        <v>174</v>
      </c>
      <c r="E21" t="s">
        <v>488</v>
      </c>
      <c r="F21" t="s">
        <v>487</v>
      </c>
      <c r="G21" s="2"/>
      <c r="L21" s="1" t="s">
        <v>147</v>
      </c>
      <c r="M21" t="str">
        <f>IF(Fields[[#This Row],[Reference Entity]]&lt;&gt;"","t" &amp;Fields[[#This Row],[Reference Entity]],"")</f>
        <v>tClient</v>
      </c>
      <c r="N21" t="str">
        <f>IF(Fields[[#This Row],[Reference Entity]]&lt;&gt;"",RIGHT(Fields[[#This Row],[Column Name]],LEN(Fields[[#This Row],[Column Name]])-2),"")</f>
        <v>Client</v>
      </c>
      <c r="O21" t="s">
        <v>142</v>
      </c>
      <c r="P21" s="1"/>
      <c r="Q21" s="1"/>
      <c r="T21" s="1"/>
      <c r="U21" s="1"/>
    </row>
    <row r="22" spans="1:22" x14ac:dyDescent="0.3">
      <c r="A22">
        <v>2</v>
      </c>
      <c r="B22" t="s">
        <v>822</v>
      </c>
      <c r="C22" t="s">
        <v>839</v>
      </c>
      <c r="D22" s="1" t="s">
        <v>823</v>
      </c>
      <c r="E22" t="s">
        <v>19</v>
      </c>
      <c r="F22" t="s">
        <v>239</v>
      </c>
      <c r="G22" s="2">
        <v>255</v>
      </c>
      <c r="K22" s="5"/>
      <c r="L22" s="1"/>
      <c r="M22" t="str">
        <f>IF(Fields[[#This Row],[Reference Entity]]&lt;&gt;"","t" &amp;Fields[[#This Row],[Reference Entity]],"")</f>
        <v/>
      </c>
      <c r="P22" s="1"/>
      <c r="Q22" s="1"/>
      <c r="T22" s="1"/>
      <c r="U22" s="1"/>
    </row>
    <row r="23" spans="1:22" x14ac:dyDescent="0.3">
      <c r="A23">
        <v>3</v>
      </c>
      <c r="B23" t="s">
        <v>822</v>
      </c>
      <c r="C23" t="s">
        <v>840</v>
      </c>
      <c r="D23" s="1" t="s">
        <v>829</v>
      </c>
      <c r="E23" t="s">
        <v>19</v>
      </c>
      <c r="F23" t="s">
        <v>239</v>
      </c>
      <c r="G23" s="2">
        <v>255</v>
      </c>
      <c r="H23" t="s">
        <v>20</v>
      </c>
      <c r="L23" s="1"/>
      <c r="P23" s="1"/>
      <c r="T23" s="1"/>
      <c r="U23" s="1"/>
    </row>
    <row r="24" spans="1:22" ht="28.8" x14ac:dyDescent="0.3">
      <c r="A24">
        <v>4</v>
      </c>
      <c r="B24" t="s">
        <v>822</v>
      </c>
      <c r="C24" t="s">
        <v>171</v>
      </c>
      <c r="D24" s="1" t="s">
        <v>828</v>
      </c>
      <c r="E24" t="s">
        <v>124</v>
      </c>
      <c r="F24" t="s">
        <v>233</v>
      </c>
      <c r="G24" s="2"/>
      <c r="I24">
        <v>0</v>
      </c>
      <c r="K24" t="s">
        <v>171</v>
      </c>
      <c r="L24" s="1"/>
      <c r="M24" t="str">
        <f>IF(Fields[[#This Row],[Reference Entity]]&lt;&gt;"","t" &amp;Fields[[#This Row],[Reference Entity]],"")</f>
        <v/>
      </c>
      <c r="P24" s="1"/>
      <c r="Q24" s="1" t="s">
        <v>824</v>
      </c>
      <c r="R24" s="1" t="s">
        <v>20</v>
      </c>
      <c r="T24" s="1"/>
      <c r="U24" s="1"/>
    </row>
    <row r="25" spans="1:22" ht="28.8" x14ac:dyDescent="0.3">
      <c r="A25">
        <v>5</v>
      </c>
      <c r="B25" t="s">
        <v>822</v>
      </c>
      <c r="C25" t="s">
        <v>824</v>
      </c>
      <c r="D25" s="1" t="s">
        <v>825</v>
      </c>
      <c r="E25" t="s">
        <v>30</v>
      </c>
      <c r="F25" t="s">
        <v>4</v>
      </c>
      <c r="G25" s="2"/>
      <c r="K25" s="5"/>
      <c r="L25" s="1"/>
      <c r="M25" t="str">
        <f>IF(Fields[[#This Row],[Reference Entity]]&lt;&gt;"","t" &amp;Fields[[#This Row],[Reference Entity]],"")</f>
        <v/>
      </c>
      <c r="P25" s="1"/>
      <c r="Q25" s="1" t="s">
        <v>824</v>
      </c>
      <c r="R25" s="1" t="s">
        <v>20</v>
      </c>
      <c r="T25" s="1"/>
      <c r="U25" s="1"/>
    </row>
    <row r="26" spans="1:22" x14ac:dyDescent="0.3">
      <c r="A26">
        <v>1</v>
      </c>
      <c r="B26" t="s">
        <v>830</v>
      </c>
      <c r="C26" t="s">
        <v>5</v>
      </c>
      <c r="D26" s="1" t="s">
        <v>174</v>
      </c>
      <c r="E26" t="s">
        <v>488</v>
      </c>
      <c r="F26" t="s">
        <v>487</v>
      </c>
      <c r="G26" s="2"/>
      <c r="L26" s="1"/>
      <c r="P26" s="1"/>
      <c r="Q26" s="1"/>
      <c r="T26" s="1"/>
      <c r="U26" s="1"/>
    </row>
    <row r="27" spans="1:22" ht="28.8" x14ac:dyDescent="0.3">
      <c r="A27">
        <v>2</v>
      </c>
      <c r="B27" t="s">
        <v>830</v>
      </c>
      <c r="C27" t="s">
        <v>831</v>
      </c>
      <c r="D27" s="1" t="s">
        <v>832</v>
      </c>
      <c r="E27" t="s">
        <v>488</v>
      </c>
      <c r="F27" t="s">
        <v>487</v>
      </c>
      <c r="G27" s="2"/>
      <c r="K27" s="5"/>
      <c r="L27" s="1" t="s">
        <v>817</v>
      </c>
      <c r="M27" t="str">
        <f>IF(Fields[[#This Row],[Reference Entity]]&lt;&gt;"","t" &amp;Fields[[#This Row],[Reference Entity]],"")</f>
        <v>tAccountSection</v>
      </c>
      <c r="N27" t="s">
        <v>817</v>
      </c>
      <c r="O27" t="s">
        <v>142</v>
      </c>
      <c r="P27" s="1"/>
      <c r="Q27" s="1" t="s">
        <v>835</v>
      </c>
      <c r="R27" s="1" t="s">
        <v>20</v>
      </c>
      <c r="T27" s="1"/>
      <c r="U27" s="1"/>
    </row>
    <row r="28" spans="1:22" x14ac:dyDescent="0.3">
      <c r="A28">
        <v>3</v>
      </c>
      <c r="B28" t="s">
        <v>830</v>
      </c>
      <c r="C28" t="s">
        <v>841</v>
      </c>
      <c r="D28" s="1" t="s">
        <v>833</v>
      </c>
      <c r="E28" t="s">
        <v>19</v>
      </c>
      <c r="F28" t="s">
        <v>239</v>
      </c>
      <c r="G28" s="2">
        <v>255</v>
      </c>
      <c r="K28" s="5"/>
      <c r="L28" s="1"/>
      <c r="M28" t="str">
        <f>IF(Fields[[#This Row],[Reference Entity]]&lt;&gt;"","t" &amp;Fields[[#This Row],[Reference Entity]],"")</f>
        <v/>
      </c>
      <c r="P28" s="1"/>
      <c r="Q28" s="1"/>
      <c r="T28" s="1"/>
      <c r="U28" s="1"/>
    </row>
    <row r="29" spans="1:22" x14ac:dyDescent="0.3">
      <c r="A29">
        <v>4</v>
      </c>
      <c r="B29" t="s">
        <v>830</v>
      </c>
      <c r="C29" t="s">
        <v>842</v>
      </c>
      <c r="D29" s="1" t="s">
        <v>834</v>
      </c>
      <c r="E29" t="s">
        <v>19</v>
      </c>
      <c r="F29" t="s">
        <v>239</v>
      </c>
      <c r="G29" s="2">
        <v>255</v>
      </c>
      <c r="H29" t="s">
        <v>20</v>
      </c>
      <c r="K29" s="5"/>
      <c r="L29" s="1"/>
      <c r="M29" t="str">
        <f>IF(Fields[[#This Row],[Reference Entity]]&lt;&gt;"","t" &amp;Fields[[#This Row],[Reference Entity]],"")</f>
        <v/>
      </c>
      <c r="P29" s="1"/>
      <c r="Q29" s="1"/>
      <c r="T29" s="1"/>
      <c r="U29" s="1"/>
    </row>
    <row r="30" spans="1:22" ht="28.8" x14ac:dyDescent="0.3">
      <c r="A30">
        <v>5</v>
      </c>
      <c r="B30" t="s">
        <v>830</v>
      </c>
      <c r="C30" t="s">
        <v>835</v>
      </c>
      <c r="D30" s="1" t="s">
        <v>825</v>
      </c>
      <c r="E30" t="s">
        <v>30</v>
      </c>
      <c r="F30" t="s">
        <v>4</v>
      </c>
      <c r="G30" s="2"/>
      <c r="K30" s="5"/>
      <c r="L30" s="1"/>
      <c r="M30" t="str">
        <f>IF(Fields[[#This Row],[Reference Entity]]&lt;&gt;"","t" &amp;Fields[[#This Row],[Reference Entity]],"")</f>
        <v/>
      </c>
      <c r="P30" s="1"/>
      <c r="Q30" s="1" t="s">
        <v>835</v>
      </c>
      <c r="R30" s="1" t="s">
        <v>20</v>
      </c>
      <c r="T30" s="1"/>
      <c r="U30" s="1"/>
    </row>
    <row r="31" spans="1:22" x14ac:dyDescent="0.3">
      <c r="A31">
        <v>1</v>
      </c>
      <c r="B31" t="s">
        <v>201</v>
      </c>
      <c r="C31" t="s">
        <v>5</v>
      </c>
      <c r="D31" s="1" t="s">
        <v>174</v>
      </c>
      <c r="E31" t="s">
        <v>488</v>
      </c>
      <c r="F31" t="s">
        <v>487</v>
      </c>
      <c r="G31" s="2"/>
      <c r="L31" s="1" t="s">
        <v>147</v>
      </c>
      <c r="M31" t="str">
        <f>IF(Fields[[#This Row],[Reference Entity]]&lt;&gt;"","t" &amp;Fields[[#This Row],[Reference Entity]],"")</f>
        <v>tClient</v>
      </c>
      <c r="N31" t="str">
        <f>IF(Fields[[#This Row],[Reference Entity]]&lt;&gt;"",RIGHT(Fields[[#This Row],[Column Name]],LEN(Fields[[#This Row],[Column Name]])-2),"")</f>
        <v>Client</v>
      </c>
      <c r="O31" t="s">
        <v>142</v>
      </c>
      <c r="P31" s="1"/>
      <c r="Q31" t="str">
        <f>Fields[[#This Row],[Column Name]]</f>
        <v>idClient</v>
      </c>
      <c r="R31"/>
      <c r="S31"/>
      <c r="V31" s="1"/>
    </row>
    <row r="32" spans="1:22" x14ac:dyDescent="0.3">
      <c r="A32">
        <v>2</v>
      </c>
      <c r="B32" t="s">
        <v>201</v>
      </c>
      <c r="C32" t="s">
        <v>284</v>
      </c>
      <c r="D32" s="1" t="s">
        <v>225</v>
      </c>
      <c r="E32" t="s">
        <v>19</v>
      </c>
      <c r="F32" t="s">
        <v>239</v>
      </c>
      <c r="G32" s="2">
        <v>30</v>
      </c>
      <c r="J32" s="1"/>
      <c r="L32" s="1" t="s">
        <v>382</v>
      </c>
      <c r="M32" t="str">
        <f>IF(Fields[[#This Row],[Reference Entity]]&lt;&gt;"","t" &amp;Fields[[#This Row],[Reference Entity]],"")</f>
        <v/>
      </c>
      <c r="N32" t="str">
        <f>IF(Fields[[#This Row],[Reference Entity]]&lt;&gt;"",RIGHT(Fields[[#This Row],[Column Name]],LEN(Fields[[#This Row],[Column Name]])-2),"")</f>
        <v/>
      </c>
      <c r="P32" s="1"/>
      <c r="Q32" s="1"/>
      <c r="T32" s="1"/>
      <c r="U32" s="1"/>
    </row>
    <row r="33" spans="1:22" x14ac:dyDescent="0.3">
      <c r="A33">
        <v>3</v>
      </c>
      <c r="B33" t="s">
        <v>201</v>
      </c>
      <c r="C33" t="s">
        <v>226</v>
      </c>
      <c r="D33" s="1" t="s">
        <v>229</v>
      </c>
      <c r="E33" t="s">
        <v>30</v>
      </c>
      <c r="F33" t="s">
        <v>4</v>
      </c>
      <c r="G33" s="2"/>
      <c r="J33" s="1"/>
      <c r="L33" s="1" t="s">
        <v>382</v>
      </c>
      <c r="M33" t="str">
        <f>IF(Fields[[#This Row],[Reference Entity]]&lt;&gt;"","t" &amp;Fields[[#This Row],[Reference Entity]],"")</f>
        <v/>
      </c>
      <c r="N33" t="str">
        <f>IF(Fields[[#This Row],[Reference Entity]]&lt;&gt;"",RIGHT(Fields[[#This Row],[Column Name]],LEN(Fields[[#This Row],[Column Name]])-2),"")</f>
        <v/>
      </c>
      <c r="P33" s="1"/>
      <c r="Q33" s="1"/>
      <c r="T33" s="1"/>
      <c r="U33" s="1"/>
    </row>
    <row r="34" spans="1:22" x14ac:dyDescent="0.3">
      <c r="A34">
        <v>4</v>
      </c>
      <c r="B34" t="s">
        <v>201</v>
      </c>
      <c r="C34" t="s">
        <v>227</v>
      </c>
      <c r="D34" s="1" t="s">
        <v>230</v>
      </c>
      <c r="E34" t="s">
        <v>124</v>
      </c>
      <c r="F34" t="s">
        <v>233</v>
      </c>
      <c r="G34" s="2"/>
      <c r="J34" s="1"/>
      <c r="L34" s="1" t="s">
        <v>382</v>
      </c>
      <c r="M34" t="str">
        <f>IF(Fields[[#This Row],[Reference Entity]]&lt;&gt;"","t" &amp;Fields[[#This Row],[Reference Entity]],"")</f>
        <v/>
      </c>
      <c r="N34" t="str">
        <f>IF(Fields[[#This Row],[Reference Entity]]&lt;&gt;"",RIGHT(Fields[[#This Row],[Column Name]],LEN(Fields[[#This Row],[Column Name]])-2),"")</f>
        <v/>
      </c>
      <c r="P34" s="1"/>
      <c r="Q34" s="1"/>
      <c r="T34" s="1"/>
      <c r="U34" s="1"/>
    </row>
    <row r="35" spans="1:22" x14ac:dyDescent="0.3">
      <c r="A35">
        <v>5</v>
      </c>
      <c r="B35" t="s">
        <v>201</v>
      </c>
      <c r="C35" t="s">
        <v>228</v>
      </c>
      <c r="D35" s="1" t="s">
        <v>231</v>
      </c>
      <c r="E35" t="s">
        <v>19</v>
      </c>
      <c r="F35" t="s">
        <v>239</v>
      </c>
      <c r="G35" s="2">
        <v>10</v>
      </c>
      <c r="J35" s="1"/>
      <c r="L35" s="1" t="s">
        <v>382</v>
      </c>
      <c r="M35" t="str">
        <f>IF(Fields[[#This Row],[Reference Entity]]&lt;&gt;"","t" &amp;Fields[[#This Row],[Reference Entity]],"")</f>
        <v/>
      </c>
      <c r="N35" t="str">
        <f>IF(Fields[[#This Row],[Reference Entity]]&lt;&gt;"",RIGHT(Fields[[#This Row],[Column Name]],LEN(Fields[[#This Row],[Column Name]])-2),"")</f>
        <v/>
      </c>
      <c r="P35" s="1"/>
      <c r="Q35" s="1"/>
      <c r="T35" s="1"/>
      <c r="U35" s="1"/>
    </row>
    <row r="36" spans="1:22" x14ac:dyDescent="0.3">
      <c r="A36">
        <v>6</v>
      </c>
      <c r="B36" t="s">
        <v>201</v>
      </c>
      <c r="C36" t="s">
        <v>787</v>
      </c>
      <c r="D36" s="1"/>
      <c r="E36" t="s">
        <v>124</v>
      </c>
      <c r="F36" t="s">
        <v>233</v>
      </c>
      <c r="G36" s="2"/>
      <c r="I36">
        <v>0</v>
      </c>
      <c r="J36" s="1"/>
      <c r="L36" s="1"/>
      <c r="M36" t="str">
        <f>IF(Fields[[#This Row],[Reference Entity]]&lt;&gt;"","t" &amp;Fields[[#This Row],[Reference Entity]],"")</f>
        <v/>
      </c>
      <c r="P36" s="1"/>
      <c r="Q36" s="1"/>
      <c r="T36" s="1"/>
      <c r="U36" s="1"/>
    </row>
    <row r="37" spans="1:22" x14ac:dyDescent="0.3">
      <c r="A37">
        <v>7</v>
      </c>
      <c r="B37" t="s">
        <v>201</v>
      </c>
      <c r="C37" t="s">
        <v>788</v>
      </c>
      <c r="D37" s="1"/>
      <c r="E37" t="s">
        <v>18</v>
      </c>
      <c r="F37" t="s">
        <v>6</v>
      </c>
      <c r="G37" s="2"/>
      <c r="I37">
        <v>0</v>
      </c>
      <c r="J37" s="1"/>
      <c r="L37" s="1"/>
      <c r="M37" t="str">
        <f>IF(Fields[[#This Row],[Reference Entity]]&lt;&gt;"","t" &amp;Fields[[#This Row],[Reference Entity]],"")</f>
        <v/>
      </c>
      <c r="P37" s="1"/>
      <c r="Q37" s="1"/>
      <c r="T37" s="1"/>
      <c r="U37" s="1"/>
    </row>
    <row r="38" spans="1:22" x14ac:dyDescent="0.3">
      <c r="A38">
        <v>8</v>
      </c>
      <c r="B38" t="s">
        <v>201</v>
      </c>
      <c r="C38" t="s">
        <v>740</v>
      </c>
      <c r="D38" s="1" t="s">
        <v>741</v>
      </c>
      <c r="E38" t="s">
        <v>19</v>
      </c>
      <c r="F38" t="s">
        <v>239</v>
      </c>
      <c r="G38" s="2">
        <v>100</v>
      </c>
      <c r="H38" t="s">
        <v>20</v>
      </c>
      <c r="J38" s="1"/>
      <c r="L38" s="1"/>
      <c r="M38" t="str">
        <f>IF(Fields[[#This Row],[Reference Entity]]&lt;&gt;"","t" &amp;Fields[[#This Row],[Reference Entity]],"")</f>
        <v/>
      </c>
      <c r="P38" s="1"/>
      <c r="Q38" s="1"/>
      <c r="T38" s="1"/>
      <c r="U38" s="1"/>
    </row>
    <row r="39" spans="1:22" x14ac:dyDescent="0.3">
      <c r="A39">
        <v>9</v>
      </c>
      <c r="B39" t="s">
        <v>201</v>
      </c>
      <c r="C39" t="s">
        <v>735</v>
      </c>
      <c r="D39" s="1" t="s">
        <v>232</v>
      </c>
      <c r="E39" t="s">
        <v>19</v>
      </c>
      <c r="F39" t="s">
        <v>239</v>
      </c>
      <c r="G39" s="2">
        <v>255</v>
      </c>
      <c r="J39" s="1"/>
      <c r="L39" s="1" t="s">
        <v>382</v>
      </c>
      <c r="M39" t="str">
        <f>IF(Fields[[#This Row],[Reference Entity]]&lt;&gt;"","t" &amp;Fields[[#This Row],[Reference Entity]],"")</f>
        <v/>
      </c>
      <c r="N39" t="str">
        <f>IF(Fields[[#This Row],[Reference Entity]]&lt;&gt;"",RIGHT(Fields[[#This Row],[Column Name]],LEN(Fields[[#This Row],[Column Name]])-2),"")</f>
        <v/>
      </c>
      <c r="P39" s="1"/>
      <c r="Q39" s="1"/>
      <c r="T39" s="1"/>
      <c r="U39" s="1"/>
    </row>
    <row r="40" spans="1:22" x14ac:dyDescent="0.3">
      <c r="A40">
        <v>10</v>
      </c>
      <c r="B40" t="s">
        <v>201</v>
      </c>
      <c r="C40" t="s">
        <v>737</v>
      </c>
      <c r="D40" s="1"/>
      <c r="E40" t="s">
        <v>17</v>
      </c>
      <c r="F40" t="s">
        <v>388</v>
      </c>
      <c r="G40" s="2"/>
      <c r="J40" s="1"/>
      <c r="L40" s="1"/>
      <c r="M40" t="str">
        <f>IF(Fields[[#This Row],[Reference Entity]]&lt;&gt;"","t" &amp;Fields[[#This Row],[Reference Entity]],"")</f>
        <v/>
      </c>
      <c r="P40" s="1"/>
      <c r="Q40" s="1"/>
      <c r="T40" s="1"/>
      <c r="U40" s="1"/>
    </row>
    <row r="41" spans="1:22" x14ac:dyDescent="0.3">
      <c r="A41">
        <v>11</v>
      </c>
      <c r="B41" t="s">
        <v>201</v>
      </c>
      <c r="C41" t="s">
        <v>736</v>
      </c>
      <c r="D41" s="1"/>
      <c r="E41" t="s">
        <v>17</v>
      </c>
      <c r="F41" t="s">
        <v>388</v>
      </c>
      <c r="G41" s="2"/>
      <c r="J41" s="1"/>
      <c r="L41" s="1"/>
      <c r="M41" t="str">
        <f>IF(Fields[[#This Row],[Reference Entity]]&lt;&gt;"","t" &amp;Fields[[#This Row],[Reference Entity]],"")</f>
        <v/>
      </c>
      <c r="P41" s="1"/>
      <c r="Q41" s="1"/>
      <c r="T41" s="1"/>
      <c r="U41" s="1"/>
    </row>
    <row r="42" spans="1:22" x14ac:dyDescent="0.3">
      <c r="A42">
        <v>12</v>
      </c>
      <c r="B42" t="s">
        <v>201</v>
      </c>
      <c r="C42" t="s">
        <v>747</v>
      </c>
      <c r="D42" s="1"/>
      <c r="E42" t="s">
        <v>30</v>
      </c>
      <c r="F42" t="s">
        <v>4</v>
      </c>
      <c r="G42" s="2"/>
      <c r="J42" s="1"/>
      <c r="L42" s="1"/>
      <c r="M42" t="str">
        <f>IF(Fields[[#This Row],[Reference Entity]]&lt;&gt;"","t" &amp;Fields[[#This Row],[Reference Entity]],"")</f>
        <v/>
      </c>
      <c r="P42" s="1"/>
      <c r="Q42" s="1"/>
      <c r="T42" s="1"/>
      <c r="U42" s="1"/>
    </row>
    <row r="43" spans="1:22" x14ac:dyDescent="0.3">
      <c r="A43">
        <v>13</v>
      </c>
      <c r="B43" t="s">
        <v>201</v>
      </c>
      <c r="C43" t="s">
        <v>748</v>
      </c>
      <c r="D43" s="1"/>
      <c r="E43" t="s">
        <v>30</v>
      </c>
      <c r="F43" t="s">
        <v>4</v>
      </c>
      <c r="G43" s="2"/>
      <c r="J43" s="1"/>
      <c r="L43" s="1"/>
      <c r="M43" t="str">
        <f>IF(Fields[[#This Row],[Reference Entity]]&lt;&gt;"","t" &amp;Fields[[#This Row],[Reference Entity]],"")</f>
        <v/>
      </c>
      <c r="P43" s="1"/>
      <c r="Q43" s="1"/>
      <c r="T43" s="1"/>
      <c r="U43" s="1"/>
    </row>
    <row r="44" spans="1:22" x14ac:dyDescent="0.3">
      <c r="A44">
        <v>1</v>
      </c>
      <c r="B44" t="s">
        <v>156</v>
      </c>
      <c r="C44" t="s">
        <v>5</v>
      </c>
      <c r="D44" s="1" t="s">
        <v>174</v>
      </c>
      <c r="E44" t="s">
        <v>488</v>
      </c>
      <c r="F44" t="s">
        <v>487</v>
      </c>
      <c r="G44" s="2"/>
      <c r="L44" s="1" t="s">
        <v>147</v>
      </c>
      <c r="M44" t="str">
        <f>IF(Fields[[#This Row],[Reference Entity]]&lt;&gt;"","t" &amp;Fields[[#This Row],[Reference Entity]],"")</f>
        <v>tClient</v>
      </c>
      <c r="N44" t="str">
        <f>IF(Fields[[#This Row],[Reference Entity]]&lt;&gt;"",RIGHT(Fields[[#This Row],[Column Name]],LEN(Fields[[#This Row],[Column Name]])-2),"")</f>
        <v>Client</v>
      </c>
      <c r="P44" s="1"/>
      <c r="Q44" t="str">
        <f>Fields[[#This Row],[Column Name]]</f>
        <v>idClient</v>
      </c>
      <c r="R44"/>
      <c r="S44"/>
      <c r="V44" s="1"/>
    </row>
    <row r="45" spans="1:22" x14ac:dyDescent="0.3">
      <c r="A45">
        <v>2</v>
      </c>
      <c r="B45" t="s">
        <v>156</v>
      </c>
      <c r="C45" t="s">
        <v>275</v>
      </c>
      <c r="D45" s="1" t="s">
        <v>276</v>
      </c>
      <c r="E45" t="s">
        <v>18</v>
      </c>
      <c r="F45" t="s">
        <v>6</v>
      </c>
      <c r="G45" s="2"/>
      <c r="I45">
        <v>0</v>
      </c>
      <c r="L45" s="1" t="s">
        <v>382</v>
      </c>
      <c r="M45" t="str">
        <f>IF(Fields[[#This Row],[Reference Entity]]&lt;&gt;"","t" &amp;Fields[[#This Row],[Reference Entity]],"")</f>
        <v/>
      </c>
      <c r="N45" t="str">
        <f>IF(Fields[[#This Row],[Reference Entity]]&lt;&gt;"",RIGHT(Fields[[#This Row],[Column Name]],LEN(Fields[[#This Row],[Column Name]])-2),"")</f>
        <v/>
      </c>
      <c r="P45" s="1"/>
      <c r="R45"/>
      <c r="S45"/>
      <c r="V45" s="1"/>
    </row>
    <row r="46" spans="1:22" x14ac:dyDescent="0.3">
      <c r="A46">
        <v>3</v>
      </c>
      <c r="B46" t="s">
        <v>156</v>
      </c>
      <c r="C46" t="s">
        <v>277</v>
      </c>
      <c r="D46" s="1" t="s">
        <v>278</v>
      </c>
      <c r="E46" t="s">
        <v>17</v>
      </c>
      <c r="F46" t="s">
        <v>388</v>
      </c>
      <c r="G46" s="2"/>
      <c r="H46" t="s">
        <v>20</v>
      </c>
      <c r="L46" s="1" t="s">
        <v>382</v>
      </c>
      <c r="M46" t="str">
        <f>IF(Fields[[#This Row],[Reference Entity]]&lt;&gt;"","t" &amp;Fields[[#This Row],[Reference Entity]],"")</f>
        <v/>
      </c>
      <c r="N46" t="str">
        <f>IF(Fields[[#This Row],[Reference Entity]]&lt;&gt;"",RIGHT(Fields[[#This Row],[Column Name]],LEN(Fields[[#This Row],[Column Name]])-2),"")</f>
        <v/>
      </c>
      <c r="P46" s="1"/>
      <c r="R46"/>
      <c r="S46"/>
      <c r="V46" s="1"/>
    </row>
    <row r="47" spans="1:22" ht="28.8" x14ac:dyDescent="0.3">
      <c r="A47">
        <v>4</v>
      </c>
      <c r="B47" t="s">
        <v>156</v>
      </c>
      <c r="C47" t="s">
        <v>318</v>
      </c>
      <c r="D47" s="1" t="s">
        <v>203</v>
      </c>
      <c r="E47" t="s">
        <v>124</v>
      </c>
      <c r="F47" t="s">
        <v>233</v>
      </c>
      <c r="G47" s="2"/>
      <c r="I47">
        <v>0</v>
      </c>
      <c r="J47" s="1"/>
      <c r="K47" s="1" t="s">
        <v>318</v>
      </c>
      <c r="L47" s="1" t="s">
        <v>382</v>
      </c>
      <c r="M47" t="str">
        <f>IF(Fields[[#This Row],[Reference Entity]]&lt;&gt;"","t" &amp;Fields[[#This Row],[Reference Entity]],"")</f>
        <v/>
      </c>
      <c r="N47" t="str">
        <f>IF(Fields[[#This Row],[Reference Entity]]&lt;&gt;"",RIGHT(Fields[[#This Row],[Column Name]],LEN(Fields[[#This Row],[Column Name]])-2),"")</f>
        <v/>
      </c>
      <c r="P47" s="1"/>
      <c r="Q47" s="1"/>
      <c r="T47" s="1"/>
      <c r="U47" s="1"/>
    </row>
    <row r="48" spans="1:22" ht="28.8" x14ac:dyDescent="0.3">
      <c r="A48">
        <v>5</v>
      </c>
      <c r="B48" t="s">
        <v>156</v>
      </c>
      <c r="C48" t="s">
        <v>815</v>
      </c>
      <c r="D48" s="1" t="s">
        <v>816</v>
      </c>
      <c r="E48" t="s">
        <v>18</v>
      </c>
      <c r="F48" t="s">
        <v>6</v>
      </c>
      <c r="G48" s="2"/>
      <c r="I48">
        <v>0</v>
      </c>
      <c r="J48" s="1"/>
      <c r="K48" s="5"/>
      <c r="L48" s="1"/>
      <c r="M48" t="str">
        <f>IF(Fields[[#This Row],[Reference Entity]]&lt;&gt;"","t" &amp;Fields[[#This Row],[Reference Entity]],"")</f>
        <v/>
      </c>
      <c r="P48" s="1"/>
      <c r="Q48" s="1"/>
      <c r="T48" s="1"/>
      <c r="U48" s="1"/>
    </row>
    <row r="49" spans="1:21" x14ac:dyDescent="0.3">
      <c r="A49">
        <v>6</v>
      </c>
      <c r="B49" t="s">
        <v>156</v>
      </c>
      <c r="C49" t="s">
        <v>193</v>
      </c>
      <c r="D49" s="1" t="s">
        <v>204</v>
      </c>
      <c r="E49" t="s">
        <v>488</v>
      </c>
      <c r="F49" t="s">
        <v>487</v>
      </c>
      <c r="G49" s="2"/>
      <c r="J49" s="1"/>
      <c r="L49" s="1" t="s">
        <v>335</v>
      </c>
      <c r="M49" t="str">
        <f>IF(Fields[[#This Row],[Reference Entity]]&lt;&gt;"","t" &amp;Fields[[#This Row],[Reference Entity]],"")</f>
        <v>tAccount</v>
      </c>
      <c r="N49" t="str">
        <f>IF(Fields[[#This Row],[Reference Entity]]&lt;&gt;"",RIGHT(Fields[[#This Row],[Column Name]],LEN(Fields[[#This Row],[Column Name]])-2),"")</f>
        <v>AccountDebit</v>
      </c>
      <c r="P49" s="1"/>
      <c r="Q49" t="str">
        <f>Fields[[#This Row],[Column Name]]</f>
        <v>idAccountDebit</v>
      </c>
      <c r="S49"/>
      <c r="U49" t="s">
        <v>379</v>
      </c>
    </row>
    <row r="50" spans="1:21" x14ac:dyDescent="0.3">
      <c r="A50">
        <v>7</v>
      </c>
      <c r="B50" t="s">
        <v>156</v>
      </c>
      <c r="C50" t="s">
        <v>194</v>
      </c>
      <c r="D50" s="1" t="s">
        <v>205</v>
      </c>
      <c r="E50" t="s">
        <v>488</v>
      </c>
      <c r="F50" t="s">
        <v>487</v>
      </c>
      <c r="G50" s="2"/>
      <c r="J50" s="1"/>
      <c r="L50" s="1" t="s">
        <v>335</v>
      </c>
      <c r="M50" t="str">
        <f>IF(Fields[[#This Row],[Reference Entity]]&lt;&gt;"","t" &amp;Fields[[#This Row],[Reference Entity]],"")</f>
        <v>tAccount</v>
      </c>
      <c r="N50" t="str">
        <f>IF(Fields[[#This Row],[Reference Entity]]&lt;&gt;"",RIGHT(Fields[[#This Row],[Column Name]],LEN(Fields[[#This Row],[Column Name]])-2),"")</f>
        <v>AccountCredit</v>
      </c>
      <c r="P50" s="1"/>
      <c r="Q50" t="str">
        <f>Fields[[#This Row],[Column Name]]</f>
        <v>idAccountCredit</v>
      </c>
      <c r="S50"/>
      <c r="U50" t="s">
        <v>380</v>
      </c>
    </row>
    <row r="51" spans="1:21" x14ac:dyDescent="0.3">
      <c r="A51">
        <v>8</v>
      </c>
      <c r="B51" t="s">
        <v>156</v>
      </c>
      <c r="C51" t="s">
        <v>296</v>
      </c>
      <c r="D51" s="1" t="s">
        <v>206</v>
      </c>
      <c r="E51" t="s">
        <v>488</v>
      </c>
      <c r="F51" t="s">
        <v>487</v>
      </c>
      <c r="G51" s="2"/>
      <c r="H51" t="s">
        <v>20</v>
      </c>
      <c r="J51" s="1"/>
      <c r="L51" s="1" t="s">
        <v>337</v>
      </c>
      <c r="M51" t="str">
        <f>IF(Fields[[#This Row],[Reference Entity]]&lt;&gt;"","t" &amp;Fields[[#This Row],[Reference Entity]],"")</f>
        <v>tCostCenter</v>
      </c>
      <c r="N51" t="str">
        <f>IF(Fields[[#This Row],[Reference Entity]]&lt;&gt;"",RIGHT(Fields[[#This Row],[Column Name]],LEN(Fields[[#This Row],[Column Name]])-2),"")</f>
        <v>CostCenterBookRecord</v>
      </c>
      <c r="P51" s="1"/>
      <c r="Q51" t="str">
        <f>Fields[[#This Row],[Column Name]]</f>
        <v>idCostCenterBookRecord</v>
      </c>
      <c r="S51"/>
    </row>
    <row r="52" spans="1:21" x14ac:dyDescent="0.3">
      <c r="A52">
        <v>9</v>
      </c>
      <c r="B52" t="s">
        <v>156</v>
      </c>
      <c r="C52" t="s">
        <v>195</v>
      </c>
      <c r="D52" s="1" t="s">
        <v>207</v>
      </c>
      <c r="E52" t="s">
        <v>488</v>
      </c>
      <c r="F52" t="s">
        <v>487</v>
      </c>
      <c r="G52" s="2"/>
      <c r="H52" t="s">
        <v>20</v>
      </c>
      <c r="J52" s="1"/>
      <c r="L52" s="1" t="s">
        <v>341</v>
      </c>
      <c r="M52" t="str">
        <f>IF(Fields[[#This Row],[Reference Entity]]&lt;&gt;"","t" &amp;Fields[[#This Row],[Reference Entity]],"")</f>
        <v>tBookingRun</v>
      </c>
      <c r="N52" t="str">
        <f>IF(Fields[[#This Row],[Reference Entity]]&lt;&gt;"",RIGHT(Fields[[#This Row],[Column Name]],LEN(Fields[[#This Row],[Column Name]])-2),"")</f>
        <v>BookingRun</v>
      </c>
      <c r="O52" t="s">
        <v>142</v>
      </c>
      <c r="P52" s="1"/>
      <c r="Q52" t="str">
        <f>Fields[[#This Row],[Column Name]]</f>
        <v>idBookingRun</v>
      </c>
      <c r="S52"/>
    </row>
    <row r="53" spans="1:21" x14ac:dyDescent="0.3">
      <c r="A53">
        <v>10</v>
      </c>
      <c r="B53" t="s">
        <v>156</v>
      </c>
      <c r="C53" t="s">
        <v>284</v>
      </c>
      <c r="D53" s="1" t="s">
        <v>225</v>
      </c>
      <c r="E53" t="s">
        <v>19</v>
      </c>
      <c r="F53" t="s">
        <v>239</v>
      </c>
      <c r="G53" s="2">
        <v>30</v>
      </c>
      <c r="H53" t="s">
        <v>20</v>
      </c>
      <c r="J53" s="1"/>
      <c r="L53" s="1"/>
      <c r="M53" t="str">
        <f>IF(Fields[[#This Row],[Reference Entity]]&lt;&gt;"","t" &amp;Fields[[#This Row],[Reference Entity]],"")</f>
        <v/>
      </c>
      <c r="N53" t="str">
        <f>IF(Fields[[#This Row],[Reference Entity]]&lt;&gt;"",RIGHT(Fields[[#This Row],[Column Name]],LEN(Fields[[#This Row],[Column Name]])-2),"")</f>
        <v/>
      </c>
      <c r="P53" s="1"/>
      <c r="S53"/>
    </row>
    <row r="54" spans="1:21" x14ac:dyDescent="0.3">
      <c r="A54">
        <v>11</v>
      </c>
      <c r="B54" t="s">
        <v>156</v>
      </c>
      <c r="C54" t="s">
        <v>196</v>
      </c>
      <c r="D54" s="1" t="s">
        <v>208</v>
      </c>
      <c r="E54" t="s">
        <v>16</v>
      </c>
      <c r="F54" t="s">
        <v>4</v>
      </c>
      <c r="G54" s="2"/>
      <c r="H54" t="s">
        <v>20</v>
      </c>
      <c r="J54" s="1"/>
      <c r="L54" s="1" t="s">
        <v>382</v>
      </c>
      <c r="M54" t="str">
        <f>IF(Fields[[#This Row],[Reference Entity]]&lt;&gt;"","t" &amp;Fields[[#This Row],[Reference Entity]],"")</f>
        <v/>
      </c>
      <c r="N54" t="str">
        <f>IF(Fields[[#This Row],[Reference Entity]]&lt;&gt;"",RIGHT(Fields[[#This Row],[Column Name]],LEN(Fields[[#This Row],[Column Name]])-2),"")</f>
        <v/>
      </c>
      <c r="P54" s="1"/>
      <c r="Q54" s="1"/>
      <c r="T54" s="1"/>
      <c r="U54" s="1"/>
    </row>
    <row r="55" spans="1:21" x14ac:dyDescent="0.3">
      <c r="A55">
        <v>12</v>
      </c>
      <c r="B55" t="s">
        <v>156</v>
      </c>
      <c r="C55" t="s">
        <v>789</v>
      </c>
      <c r="D55" s="1"/>
      <c r="E55" t="s">
        <v>16</v>
      </c>
      <c r="F55" t="s">
        <v>4</v>
      </c>
      <c r="G55" s="2"/>
      <c r="J55" s="1"/>
      <c r="K55"/>
      <c r="L55" s="1"/>
      <c r="M55" t="str">
        <f>IF(Fields[[#This Row],[Reference Entity]]&lt;&gt;"","t" &amp;Fields[[#This Row],[Reference Entity]],"")</f>
        <v/>
      </c>
      <c r="N55" t="str">
        <f>IF(Fields[[#This Row],[Reference Entity]]&lt;&gt;"",RIGHT(Fields[[#This Row],[Column Name]],LEN(Fields[[#This Row],[Column Name]])-2),"")</f>
        <v/>
      </c>
      <c r="P55" s="1"/>
      <c r="Q55" s="1"/>
      <c r="R55"/>
      <c r="S55"/>
      <c r="T55" s="1"/>
      <c r="U55" s="1"/>
    </row>
    <row r="56" spans="1:21" x14ac:dyDescent="0.3">
      <c r="A56">
        <v>13</v>
      </c>
      <c r="B56" t="s">
        <v>156</v>
      </c>
      <c r="C56" t="s">
        <v>790</v>
      </c>
      <c r="D56" s="1"/>
      <c r="E56" t="s">
        <v>16</v>
      </c>
      <c r="F56" t="s">
        <v>4</v>
      </c>
      <c r="G56" s="2"/>
      <c r="J56" s="1"/>
      <c r="K56"/>
      <c r="L56" s="1"/>
      <c r="M56" t="str">
        <f>IF(Fields[[#This Row],[Reference Entity]]&lt;&gt;"","t" &amp;Fields[[#This Row],[Reference Entity]],"")</f>
        <v/>
      </c>
      <c r="N56" t="str">
        <f>IF(Fields[[#This Row],[Reference Entity]]&lt;&gt;"",RIGHT(Fields[[#This Row],[Column Name]],LEN(Fields[[#This Row],[Column Name]])-2),"")</f>
        <v/>
      </c>
      <c r="P56" s="1"/>
      <c r="Q56" s="1"/>
      <c r="R56"/>
      <c r="S56"/>
      <c r="T56" s="1"/>
      <c r="U56" s="1"/>
    </row>
    <row r="57" spans="1:21" x14ac:dyDescent="0.3">
      <c r="A57">
        <v>14</v>
      </c>
      <c r="B57" t="s">
        <v>156</v>
      </c>
      <c r="C57" t="s">
        <v>794</v>
      </c>
      <c r="D57" s="1"/>
      <c r="E57" t="s">
        <v>795</v>
      </c>
      <c r="F57" t="s">
        <v>233</v>
      </c>
      <c r="G57" s="2"/>
      <c r="J57" s="1"/>
      <c r="K57"/>
      <c r="L57" s="1"/>
      <c r="M57" t="str">
        <f>IF(Fields[[#This Row],[Reference Entity]]&lt;&gt;"","t" &amp;Fields[[#This Row],[Reference Entity]],"")</f>
        <v/>
      </c>
      <c r="N57" t="str">
        <f>IF(Fields[[#This Row],[Reference Entity]]&lt;&gt;"",RIGHT(Fields[[#This Row],[Column Name]],LEN(Fields[[#This Row],[Column Name]])-2),"")</f>
        <v/>
      </c>
      <c r="P57" s="1"/>
      <c r="Q57" s="1"/>
      <c r="R57"/>
      <c r="S57"/>
      <c r="T57" s="1"/>
      <c r="U57" s="1"/>
    </row>
    <row r="58" spans="1:21" x14ac:dyDescent="0.3">
      <c r="A58">
        <v>15</v>
      </c>
      <c r="B58" t="s">
        <v>156</v>
      </c>
      <c r="C58" t="s">
        <v>197</v>
      </c>
      <c r="D58" s="1" t="s">
        <v>209</v>
      </c>
      <c r="E58" t="s">
        <v>488</v>
      </c>
      <c r="F58" t="s">
        <v>487</v>
      </c>
      <c r="G58" s="2"/>
      <c r="H58" t="s">
        <v>20</v>
      </c>
      <c r="J58" s="1"/>
      <c r="L58" s="1" t="s">
        <v>346</v>
      </c>
      <c r="M58" t="str">
        <f>IF(Fields[[#This Row],[Reference Entity]]&lt;&gt;"","t" &amp;Fields[[#This Row],[Reference Entity]],"")</f>
        <v>tPlanElementInstance</v>
      </c>
      <c r="N58" t="str">
        <f>IF(Fields[[#This Row],[Reference Entity]]&lt;&gt;"",RIGHT(Fields[[#This Row],[Column Name]],LEN(Fields[[#This Row],[Column Name]])-2),"")</f>
        <v>PlanElementInstance</v>
      </c>
      <c r="P58" s="1"/>
      <c r="Q58" t="str">
        <f>Fields[[#This Row],[Column Name]]</f>
        <v>idPlanElementInstance</v>
      </c>
      <c r="S58"/>
    </row>
    <row r="59" spans="1:21" x14ac:dyDescent="0.3">
      <c r="A59">
        <v>16</v>
      </c>
      <c r="B59" t="s">
        <v>156</v>
      </c>
      <c r="C59" t="s">
        <v>302</v>
      </c>
      <c r="D59" s="1" t="s">
        <v>210</v>
      </c>
      <c r="E59" t="s">
        <v>19</v>
      </c>
      <c r="F59" t="s">
        <v>239</v>
      </c>
      <c r="G59" s="2">
        <v>255</v>
      </c>
      <c r="H59" t="s">
        <v>20</v>
      </c>
      <c r="J59" s="1"/>
      <c r="L59" s="1" t="s">
        <v>382</v>
      </c>
      <c r="M59" t="str">
        <f>IF(Fields[[#This Row],[Reference Entity]]&lt;&gt;"","t" &amp;Fields[[#This Row],[Reference Entity]],"")</f>
        <v/>
      </c>
      <c r="N59" t="str">
        <f>IF(Fields[[#This Row],[Reference Entity]]&lt;&gt;"",RIGHT(Fields[[#This Row],[Column Name]],LEN(Fields[[#This Row],[Column Name]])-2),"")</f>
        <v/>
      </c>
      <c r="P59" s="1"/>
      <c r="Q59" s="1"/>
      <c r="T59" s="1"/>
      <c r="U59" s="1"/>
    </row>
    <row r="60" spans="1:21" x14ac:dyDescent="0.3">
      <c r="A60">
        <v>17</v>
      </c>
      <c r="B60" t="s">
        <v>156</v>
      </c>
      <c r="C60" t="s">
        <v>291</v>
      </c>
      <c r="D60" s="1" t="s">
        <v>211</v>
      </c>
      <c r="E60" t="s">
        <v>17</v>
      </c>
      <c r="F60" t="s">
        <v>388</v>
      </c>
      <c r="G60" s="2"/>
      <c r="J60" s="1"/>
      <c r="L60" s="1" t="s">
        <v>382</v>
      </c>
      <c r="M60" t="str">
        <f>IF(Fields[[#This Row],[Reference Entity]]&lt;&gt;"","t" &amp;Fields[[#This Row],[Reference Entity]],"")</f>
        <v/>
      </c>
      <c r="N60" t="str">
        <f>IF(Fields[[#This Row],[Reference Entity]]&lt;&gt;"",RIGHT(Fields[[#This Row],[Column Name]],LEN(Fields[[#This Row],[Column Name]])-2),"")</f>
        <v/>
      </c>
      <c r="P60" s="1"/>
      <c r="Q60" s="1"/>
      <c r="T60" s="1"/>
      <c r="U60" s="1"/>
    </row>
    <row r="61" spans="1:21" x14ac:dyDescent="0.3">
      <c r="A61">
        <v>18</v>
      </c>
      <c r="B61" t="s">
        <v>156</v>
      </c>
      <c r="C61" t="s">
        <v>198</v>
      </c>
      <c r="D61" s="1" t="s">
        <v>212</v>
      </c>
      <c r="E61" t="s">
        <v>60</v>
      </c>
      <c r="F61" t="s">
        <v>234</v>
      </c>
      <c r="G61" s="2"/>
      <c r="J61" s="1"/>
      <c r="L61" s="1" t="s">
        <v>382</v>
      </c>
      <c r="M61" t="str">
        <f>IF(Fields[[#This Row],[Reference Entity]]&lt;&gt;"","t" &amp;Fields[[#This Row],[Reference Entity]],"")</f>
        <v/>
      </c>
      <c r="N61" t="str">
        <f>IF(Fields[[#This Row],[Reference Entity]]&lt;&gt;"",RIGHT(Fields[[#This Row],[Column Name]],LEN(Fields[[#This Row],[Column Name]])-2),"")</f>
        <v/>
      </c>
      <c r="P61" s="1"/>
      <c r="Q61" s="1"/>
      <c r="T61" s="1"/>
      <c r="U61" s="1"/>
    </row>
    <row r="62" spans="1:21" x14ac:dyDescent="0.3">
      <c r="A62">
        <v>19</v>
      </c>
      <c r="B62" t="s">
        <v>156</v>
      </c>
      <c r="C62" t="s">
        <v>742</v>
      </c>
      <c r="D62" s="1" t="s">
        <v>213</v>
      </c>
      <c r="E62" t="s">
        <v>19</v>
      </c>
      <c r="F62" t="s">
        <v>239</v>
      </c>
      <c r="G62" s="2">
        <v>50</v>
      </c>
      <c r="H62" t="s">
        <v>20</v>
      </c>
      <c r="J62" s="1"/>
      <c r="L62" s="1" t="s">
        <v>382</v>
      </c>
      <c r="M62" t="str">
        <f>IF(Fields[[#This Row],[Reference Entity]]&lt;&gt;"","t" &amp;Fields[[#This Row],[Reference Entity]],"")</f>
        <v/>
      </c>
      <c r="N62" t="str">
        <f>IF(Fields[[#This Row],[Reference Entity]]&lt;&gt;"",RIGHT(Fields[[#This Row],[Column Name]],LEN(Fields[[#This Row],[Column Name]])-2),"")</f>
        <v/>
      </c>
      <c r="P62" s="1"/>
      <c r="Q62" s="1"/>
      <c r="T62" s="1"/>
      <c r="U62" s="1"/>
    </row>
    <row r="63" spans="1:21" ht="57.6" x14ac:dyDescent="0.3">
      <c r="A63">
        <v>20</v>
      </c>
      <c r="B63" t="s">
        <v>156</v>
      </c>
      <c r="C63" t="s">
        <v>300</v>
      </c>
      <c r="D63" s="1" t="s">
        <v>37</v>
      </c>
      <c r="E63" t="s">
        <v>19</v>
      </c>
      <c r="F63" t="s">
        <v>239</v>
      </c>
      <c r="G63" s="2">
        <v>15</v>
      </c>
      <c r="H63" t="s">
        <v>20</v>
      </c>
      <c r="L63" s="1" t="s">
        <v>382</v>
      </c>
      <c r="M63" t="str">
        <f>IF(Fields[[#This Row],[Reference Entity]]&lt;&gt;"","t" &amp;Fields[[#This Row],[Reference Entity]],"")</f>
        <v/>
      </c>
      <c r="N63" t="str">
        <f>IF(Fields[[#This Row],[Reference Entity]]&lt;&gt;"",RIGHT(Fields[[#This Row],[Column Name]],LEN(Fields[[#This Row],[Column Name]])-2),"")</f>
        <v/>
      </c>
      <c r="P63" s="1"/>
      <c r="Q63" t="str">
        <f>Fields[[#This Row],[Column Name]]</f>
        <v>ReferenceIDBookRecord</v>
      </c>
      <c r="R63"/>
      <c r="S63"/>
    </row>
    <row r="64" spans="1:21" x14ac:dyDescent="0.3">
      <c r="A64">
        <v>21</v>
      </c>
      <c r="B64" t="s">
        <v>156</v>
      </c>
      <c r="C64" t="s">
        <v>289</v>
      </c>
      <c r="D64" s="1" t="s">
        <v>214</v>
      </c>
      <c r="E64" t="s">
        <v>45</v>
      </c>
      <c r="F64" t="s">
        <v>239</v>
      </c>
      <c r="G64" s="2" t="s">
        <v>238</v>
      </c>
      <c r="H64" t="s">
        <v>20</v>
      </c>
      <c r="J64" s="1"/>
      <c r="L64" s="1" t="s">
        <v>382</v>
      </c>
      <c r="M64" t="str">
        <f>IF(Fields[[#This Row],[Reference Entity]]&lt;&gt;"","t" &amp;Fields[[#This Row],[Reference Entity]],"")</f>
        <v/>
      </c>
      <c r="N64" t="str">
        <f>IF(Fields[[#This Row],[Reference Entity]]&lt;&gt;"",RIGHT(Fields[[#This Row],[Column Name]],LEN(Fields[[#This Row],[Column Name]])-2),"")</f>
        <v/>
      </c>
      <c r="P64" s="1"/>
      <c r="Q64" s="1"/>
      <c r="T64" s="1"/>
      <c r="U64" s="1"/>
    </row>
    <row r="65" spans="1:21" ht="28.8" x14ac:dyDescent="0.3">
      <c r="A65">
        <v>22</v>
      </c>
      <c r="B65" t="s">
        <v>156</v>
      </c>
      <c r="C65" t="s">
        <v>892</v>
      </c>
      <c r="D65" s="1" t="s">
        <v>893</v>
      </c>
      <c r="E65" t="s">
        <v>16</v>
      </c>
      <c r="F65" t="s">
        <v>4</v>
      </c>
      <c r="G65" s="2"/>
      <c r="H65" t="s">
        <v>20</v>
      </c>
      <c r="J65" s="1"/>
      <c r="L65" s="1"/>
      <c r="M65" t="str">
        <f>IF(Fields[[#This Row],[Reference Entity]]&lt;&gt;"","t" &amp;Fields[[#This Row],[Reference Entity]],"")</f>
        <v/>
      </c>
      <c r="P65" s="1"/>
      <c r="Q65" s="1"/>
      <c r="T65" s="1"/>
      <c r="U65" s="1"/>
    </row>
    <row r="66" spans="1:21" x14ac:dyDescent="0.3">
      <c r="A66">
        <v>23</v>
      </c>
      <c r="B66" t="s">
        <v>156</v>
      </c>
      <c r="C66" t="s">
        <v>894</v>
      </c>
      <c r="D66" s="1" t="s">
        <v>896</v>
      </c>
      <c r="E66" t="s">
        <v>897</v>
      </c>
      <c r="F66" t="s">
        <v>388</v>
      </c>
      <c r="G66" s="2"/>
      <c r="H66" t="s">
        <v>20</v>
      </c>
      <c r="J66" s="1"/>
      <c r="L66" s="1"/>
      <c r="M66" t="str">
        <f>IF(Fields[[#This Row],[Reference Entity]]&lt;&gt;"","t" &amp;Fields[[#This Row],[Reference Entity]],"")</f>
        <v/>
      </c>
      <c r="P66" s="1"/>
      <c r="Q66" s="1"/>
      <c r="T66" s="1"/>
      <c r="U66" s="1"/>
    </row>
    <row r="67" spans="1:21" x14ac:dyDescent="0.3">
      <c r="A67">
        <v>24</v>
      </c>
      <c r="B67" t="s">
        <v>156</v>
      </c>
      <c r="C67" t="s">
        <v>895</v>
      </c>
      <c r="D67" s="1" t="s">
        <v>896</v>
      </c>
      <c r="E67" t="s">
        <v>897</v>
      </c>
      <c r="F67" t="s">
        <v>388</v>
      </c>
      <c r="G67" s="2"/>
      <c r="H67" t="s">
        <v>20</v>
      </c>
      <c r="J67" s="1"/>
      <c r="L67" s="1"/>
      <c r="M67" t="str">
        <f>IF(Fields[[#This Row],[Reference Entity]]&lt;&gt;"","t" &amp;Fields[[#This Row],[Reference Entity]],"")</f>
        <v/>
      </c>
      <c r="P67" s="1"/>
      <c r="Q67" s="1"/>
      <c r="T67" s="1"/>
      <c r="U67" s="1"/>
    </row>
    <row r="68" spans="1:21" ht="43.2" x14ac:dyDescent="0.3">
      <c r="A68">
        <v>25</v>
      </c>
      <c r="B68" t="s">
        <v>156</v>
      </c>
      <c r="C68" t="s">
        <v>898</v>
      </c>
      <c r="D68" s="1" t="s">
        <v>899</v>
      </c>
      <c r="E68" t="s">
        <v>16</v>
      </c>
      <c r="F68" t="s">
        <v>4</v>
      </c>
      <c r="G68" s="2"/>
      <c r="H68" t="s">
        <v>20</v>
      </c>
      <c r="J68" s="1"/>
      <c r="L68" s="1"/>
      <c r="M68" t="str">
        <f>IF(Fields[[#This Row],[Reference Entity]]&lt;&gt;"","t" &amp;Fields[[#This Row],[Reference Entity]],"")</f>
        <v/>
      </c>
      <c r="P68" s="1"/>
      <c r="Q68" s="1"/>
      <c r="T68" s="1"/>
      <c r="U68" s="1"/>
    </row>
    <row r="69" spans="1:21" x14ac:dyDescent="0.3">
      <c r="A69">
        <v>26</v>
      </c>
      <c r="B69" t="s">
        <v>156</v>
      </c>
      <c r="C69" t="s">
        <v>909</v>
      </c>
      <c r="D69" s="1" t="s">
        <v>911</v>
      </c>
      <c r="E69" t="s">
        <v>19</v>
      </c>
      <c r="F69" t="s">
        <v>239</v>
      </c>
      <c r="G69" s="2">
        <v>30</v>
      </c>
      <c r="H69" t="s">
        <v>20</v>
      </c>
      <c r="J69" s="1"/>
      <c r="L69" s="1"/>
      <c r="M69" t="str">
        <f>IF(Fields[[#This Row],[Reference Entity]]&lt;&gt;"","t" &amp;Fields[[#This Row],[Reference Entity]],"")</f>
        <v/>
      </c>
      <c r="P69" s="1"/>
      <c r="Q69" s="1"/>
      <c r="T69" s="1"/>
      <c r="U69" s="1"/>
    </row>
    <row r="70" spans="1:21" x14ac:dyDescent="0.3">
      <c r="A70">
        <v>27</v>
      </c>
      <c r="B70" t="s">
        <v>156</v>
      </c>
      <c r="C70" t="s">
        <v>910</v>
      </c>
      <c r="D70" s="1" t="s">
        <v>912</v>
      </c>
      <c r="E70" t="s">
        <v>19</v>
      </c>
      <c r="F70" t="s">
        <v>239</v>
      </c>
      <c r="G70" s="2">
        <v>30</v>
      </c>
      <c r="H70" t="s">
        <v>20</v>
      </c>
      <c r="J70" s="1"/>
      <c r="L70" s="1"/>
      <c r="M70" t="str">
        <f>IF(Fields[[#This Row],[Reference Entity]]&lt;&gt;"","t" &amp;Fields[[#This Row],[Reference Entity]],"")</f>
        <v/>
      </c>
      <c r="P70" s="1"/>
      <c r="Q70" s="1"/>
      <c r="T70" s="1"/>
      <c r="U70" s="1"/>
    </row>
    <row r="71" spans="1:21" x14ac:dyDescent="0.3">
      <c r="A71">
        <v>1</v>
      </c>
      <c r="B71" t="s">
        <v>157</v>
      </c>
      <c r="C71" t="s">
        <v>215</v>
      </c>
      <c r="D71" s="1" t="s">
        <v>218</v>
      </c>
      <c r="E71" t="s">
        <v>488</v>
      </c>
      <c r="F71" t="s">
        <v>487</v>
      </c>
      <c r="G71" s="2"/>
      <c r="L71" s="1" t="s">
        <v>349</v>
      </c>
      <c r="M71" t="str">
        <f>IF(Fields[[#This Row],[Reference Entity]]&lt;&gt;"","t" &amp;Fields[[#This Row],[Reference Entity]],"")</f>
        <v>tBookRecord</v>
      </c>
      <c r="N71" t="str">
        <f>IF(Fields[[#This Row],[Reference Entity]]&lt;&gt;"",RIGHT(Fields[[#This Row],[Column Name]],LEN(Fields[[#This Row],[Column Name]])-2),"")</f>
        <v>BookingRecord</v>
      </c>
      <c r="O71" t="s">
        <v>142</v>
      </c>
      <c r="P71" s="1"/>
      <c r="Q71" t="str">
        <f>Fields[[#This Row],[Column Name]]</f>
        <v>idBookingRecord</v>
      </c>
      <c r="R71"/>
      <c r="S71"/>
    </row>
    <row r="72" spans="1:21" x14ac:dyDescent="0.3">
      <c r="A72">
        <v>2</v>
      </c>
      <c r="B72" t="s">
        <v>157</v>
      </c>
      <c r="C72" t="s">
        <v>5</v>
      </c>
      <c r="D72" s="1"/>
      <c r="E72" t="s">
        <v>488</v>
      </c>
      <c r="F72" t="s">
        <v>487</v>
      </c>
      <c r="G72" s="2"/>
      <c r="J72" s="1"/>
      <c r="L72" s="1"/>
      <c r="M72" t="str">
        <f>IF(Fields[[#This Row],[Reference Entity]]&lt;&gt;"","t" &amp;Fields[[#This Row],[Reference Entity]],"")</f>
        <v/>
      </c>
      <c r="P72" s="1"/>
      <c r="Q72" s="1" t="s">
        <v>5</v>
      </c>
      <c r="T72" s="1"/>
      <c r="U72" s="1"/>
    </row>
    <row r="73" spans="1:21" x14ac:dyDescent="0.3">
      <c r="A73">
        <v>3</v>
      </c>
      <c r="B73" t="s">
        <v>157</v>
      </c>
      <c r="C73" t="s">
        <v>53</v>
      </c>
      <c r="D73" s="1"/>
      <c r="E73" t="s">
        <v>488</v>
      </c>
      <c r="F73" t="s">
        <v>487</v>
      </c>
      <c r="G73" s="2"/>
      <c r="H73" t="s">
        <v>20</v>
      </c>
      <c r="J73" s="1"/>
      <c r="K73"/>
      <c r="L73" s="1" t="s">
        <v>342</v>
      </c>
      <c r="M73" t="str">
        <f>IF(Fields[[#This Row],[Reference Entity]]&lt;&gt;"","t" &amp;Fields[[#This Row],[Reference Entity]],"")</f>
        <v>tPlan</v>
      </c>
      <c r="N73" t="str">
        <f>IF(Fields[[#This Row],[Reference Entity]]&lt;&gt;"",RIGHT(Fields[[#This Row],[Column Name]],LEN(Fields[[#This Row],[Column Name]])-2),"")</f>
        <v>Plan</v>
      </c>
      <c r="P73" s="1"/>
      <c r="Q73" s="1" t="s">
        <v>53</v>
      </c>
      <c r="R73"/>
      <c r="S73"/>
      <c r="T73" s="1"/>
      <c r="U73" s="1"/>
    </row>
    <row r="74" spans="1:21" ht="28.8" x14ac:dyDescent="0.3">
      <c r="A74">
        <v>4</v>
      </c>
      <c r="B74" t="s">
        <v>157</v>
      </c>
      <c r="C74" t="s">
        <v>59</v>
      </c>
      <c r="D74" s="1"/>
      <c r="E74" t="s">
        <v>488</v>
      </c>
      <c r="F74" t="s">
        <v>487</v>
      </c>
      <c r="G74" s="2"/>
      <c r="H74" t="s">
        <v>20</v>
      </c>
      <c r="J74" s="1"/>
      <c r="K74"/>
      <c r="L74" s="1" t="s">
        <v>343</v>
      </c>
      <c r="M74" t="str">
        <f>IF(Fields[[#This Row],[Reference Entity]]&lt;&gt;"","t" &amp;Fields[[#This Row],[Reference Entity]],"")</f>
        <v>tPlanElement</v>
      </c>
      <c r="N74" t="str">
        <f>IF(Fields[[#This Row],[Reference Entity]]&lt;&gt;"",RIGHT(Fields[[#This Row],[Column Name]],LEN(Fields[[#This Row],[Column Name]])-2),"")</f>
        <v>PlanElement</v>
      </c>
      <c r="P74" s="1"/>
      <c r="Q74" s="1" t="s">
        <v>59</v>
      </c>
      <c r="R74"/>
      <c r="S74"/>
      <c r="T74" s="1"/>
      <c r="U74" s="1"/>
    </row>
    <row r="75" spans="1:21" x14ac:dyDescent="0.3">
      <c r="A75">
        <v>5</v>
      </c>
      <c r="B75" t="s">
        <v>157</v>
      </c>
      <c r="C75" t="s">
        <v>796</v>
      </c>
      <c r="D75" s="1" t="s">
        <v>219</v>
      </c>
      <c r="E75" t="s">
        <v>488</v>
      </c>
      <c r="F75" t="s">
        <v>487</v>
      </c>
      <c r="G75" s="2"/>
      <c r="J75" s="1"/>
      <c r="K75"/>
      <c r="L75" s="1" t="s">
        <v>335</v>
      </c>
      <c r="M75" t="str">
        <f>IF(Fields[[#This Row],[Reference Entity]]&lt;&gt;"","t" &amp;Fields[[#This Row],[Reference Entity]],"")</f>
        <v>tAccount</v>
      </c>
      <c r="N75" t="str">
        <f>IF(Fields[[#This Row],[Reference Entity]]&lt;&gt;"",RIGHT(Fields[[#This Row],[Column Name]],LEN(Fields[[#This Row],[Column Name]])-2),"")</f>
        <v>AccountReport</v>
      </c>
      <c r="P75" s="1"/>
      <c r="Q75" t="str">
        <f>Fields[[#This Row],[Column Name]]</f>
        <v>idAccountReport</v>
      </c>
      <c r="S75"/>
    </row>
    <row r="76" spans="1:21" x14ac:dyDescent="0.3">
      <c r="A76">
        <v>6</v>
      </c>
      <c r="B76" t="s">
        <v>157</v>
      </c>
      <c r="C76" t="s">
        <v>797</v>
      </c>
      <c r="D76" s="1"/>
      <c r="E76" t="s">
        <v>488</v>
      </c>
      <c r="F76" t="s">
        <v>487</v>
      </c>
      <c r="G76" s="2"/>
      <c r="J76" s="1"/>
      <c r="K76"/>
      <c r="L76" s="1" t="s">
        <v>335</v>
      </c>
      <c r="M76" t="str">
        <f>IF(Fields[[#This Row],[Reference Entity]]&lt;&gt;"","t" &amp;Fields[[#This Row],[Reference Entity]],"")</f>
        <v>tAccount</v>
      </c>
      <c r="N76" t="str">
        <f>IF(Fields[[#This Row],[Reference Entity]]&lt;&gt;"",RIGHT(Fields[[#This Row],[Column Name]],LEN(Fields[[#This Row],[Column Name]])-2),"")</f>
        <v>AccountBooking</v>
      </c>
      <c r="P76" s="1"/>
      <c r="Q76" t="s">
        <v>797</v>
      </c>
      <c r="S76"/>
    </row>
    <row r="77" spans="1:21" x14ac:dyDescent="0.3">
      <c r="A77">
        <v>7</v>
      </c>
      <c r="B77" t="s">
        <v>157</v>
      </c>
      <c r="C77" t="s">
        <v>799</v>
      </c>
      <c r="D77" s="1"/>
      <c r="E77" t="s">
        <v>488</v>
      </c>
      <c r="F77" t="s">
        <v>487</v>
      </c>
      <c r="G77" s="2"/>
      <c r="H77" t="s">
        <v>20</v>
      </c>
      <c r="J77" s="1"/>
      <c r="K77"/>
      <c r="L77" s="1" t="s">
        <v>337</v>
      </c>
      <c r="M77" t="str">
        <f>IF(Fields[[#This Row],[Reference Entity]]&lt;&gt;"","t" &amp;Fields[[#This Row],[Reference Entity]],"")</f>
        <v>tCostCenter</v>
      </c>
      <c r="N77" t="str">
        <f>IF(Fields[[#This Row],[Reference Entity]]&lt;&gt;"",RIGHT(Fields[[#This Row],[Column Name]],LEN(Fields[[#This Row],[Column Name]])-2),"")</f>
        <v>CostCenter</v>
      </c>
      <c r="P77" s="1"/>
      <c r="Q77" t="s">
        <v>799</v>
      </c>
      <c r="S77"/>
    </row>
    <row r="78" spans="1:21" x14ac:dyDescent="0.3">
      <c r="A78">
        <v>8</v>
      </c>
      <c r="B78" t="s">
        <v>157</v>
      </c>
      <c r="C78" t="s">
        <v>798</v>
      </c>
      <c r="D78" s="1"/>
      <c r="E78" t="s">
        <v>16</v>
      </c>
      <c r="F78" t="s">
        <v>4</v>
      </c>
      <c r="G78" s="2"/>
      <c r="H78" t="s">
        <v>20</v>
      </c>
      <c r="J78" s="4" t="s">
        <v>170</v>
      </c>
      <c r="K78"/>
      <c r="L78" s="1"/>
      <c r="M78" t="str">
        <f>IF(Fields[[#This Row],[Reference Entity]]&lt;&gt;"","t" &amp;Fields[[#This Row],[Reference Entity]],"")</f>
        <v/>
      </c>
      <c r="P78" s="1"/>
      <c r="S78"/>
    </row>
    <row r="79" spans="1:21" x14ac:dyDescent="0.3">
      <c r="A79">
        <v>9</v>
      </c>
      <c r="B79" t="s">
        <v>157</v>
      </c>
      <c r="C79" t="s">
        <v>285</v>
      </c>
      <c r="D79" s="1"/>
      <c r="E79" t="s">
        <v>19</v>
      </c>
      <c r="F79" t="s">
        <v>239</v>
      </c>
      <c r="G79" s="2">
        <v>12</v>
      </c>
      <c r="H79" t="s">
        <v>20</v>
      </c>
      <c r="J79" s="1"/>
      <c r="K79"/>
      <c r="L79" s="1"/>
      <c r="M79" t="str">
        <f>IF(Fields[[#This Row],[Reference Entity]]&lt;&gt;"","t" &amp;Fields[[#This Row],[Reference Entity]],"")</f>
        <v/>
      </c>
      <c r="P79" s="1"/>
      <c r="S79"/>
    </row>
    <row r="80" spans="1:21" x14ac:dyDescent="0.3">
      <c r="A80">
        <v>10</v>
      </c>
      <c r="B80" t="s">
        <v>157</v>
      </c>
      <c r="C80" t="s">
        <v>318</v>
      </c>
      <c r="D80" s="1"/>
      <c r="E80" t="s">
        <v>124</v>
      </c>
      <c r="F80" t="s">
        <v>233</v>
      </c>
      <c r="G80" s="2"/>
      <c r="H80" t="s">
        <v>20</v>
      </c>
      <c r="J80" s="1"/>
      <c r="K80" s="1" t="s">
        <v>318</v>
      </c>
      <c r="L80" s="1"/>
      <c r="M80" t="str">
        <f>IF(Fields[[#This Row],[Reference Entity]]&lt;&gt;"","t" &amp;Fields[[#This Row],[Reference Entity]],"")</f>
        <v/>
      </c>
      <c r="P80" s="1"/>
      <c r="Q80" s="1"/>
      <c r="T80" s="1"/>
      <c r="U80" s="1"/>
    </row>
    <row r="81" spans="1:21" ht="28.8" x14ac:dyDescent="0.3">
      <c r="A81">
        <v>11</v>
      </c>
      <c r="B81" t="s">
        <v>157</v>
      </c>
      <c r="C81" t="s">
        <v>815</v>
      </c>
      <c r="D81" s="1" t="s">
        <v>816</v>
      </c>
      <c r="E81" t="s">
        <v>18</v>
      </c>
      <c r="F81" t="s">
        <v>6</v>
      </c>
      <c r="G81" s="2"/>
      <c r="I81">
        <v>0</v>
      </c>
      <c r="J81" s="1"/>
      <c r="L81" s="1"/>
      <c r="M81" t="str">
        <f>IF(Fields[[#This Row],[Reference Entity]]&lt;&gt;"","t" &amp;Fields[[#This Row],[Reference Entity]],"")</f>
        <v/>
      </c>
      <c r="P81" s="1"/>
      <c r="Q81" s="1"/>
      <c r="T81" s="1"/>
      <c r="U81" s="1"/>
    </row>
    <row r="82" spans="1:21" x14ac:dyDescent="0.3">
      <c r="A82">
        <v>12</v>
      </c>
      <c r="B82" t="s">
        <v>157</v>
      </c>
      <c r="C82" t="s">
        <v>291</v>
      </c>
      <c r="D82" s="1"/>
      <c r="E82" t="s">
        <v>17</v>
      </c>
      <c r="F82" t="s">
        <v>388</v>
      </c>
      <c r="G82" s="2"/>
      <c r="H82" t="s">
        <v>20</v>
      </c>
      <c r="J82" s="1"/>
      <c r="L82" s="1"/>
      <c r="M82" t="str">
        <f>IF(Fields[[#This Row],[Reference Entity]]&lt;&gt;"","t" &amp;Fields[[#This Row],[Reference Entity]],"")</f>
        <v/>
      </c>
      <c r="P82" s="1"/>
      <c r="Q82" s="1"/>
      <c r="T82" s="1"/>
      <c r="U82" s="1"/>
    </row>
    <row r="83" spans="1:21" x14ac:dyDescent="0.3">
      <c r="A83">
        <v>13</v>
      </c>
      <c r="B83" t="s">
        <v>157</v>
      </c>
      <c r="C83" t="s">
        <v>800</v>
      </c>
      <c r="D83" s="1"/>
      <c r="E83" t="s">
        <v>30</v>
      </c>
      <c r="F83" t="s">
        <v>4</v>
      </c>
      <c r="G83" s="2"/>
      <c r="J83" s="1"/>
      <c r="L83" s="1"/>
      <c r="M83" t="str">
        <f>IF(Fields[[#This Row],[Reference Entity]]&lt;&gt;"","t" &amp;Fields[[#This Row],[Reference Entity]],"")</f>
        <v/>
      </c>
      <c r="P83" s="1"/>
      <c r="Q83" s="1"/>
      <c r="T83" s="1"/>
      <c r="U83" s="1"/>
    </row>
    <row r="84" spans="1:21" x14ac:dyDescent="0.3">
      <c r="A84">
        <v>14</v>
      </c>
      <c r="B84" t="s">
        <v>157</v>
      </c>
      <c r="C84" t="s">
        <v>216</v>
      </c>
      <c r="D84" s="1" t="s">
        <v>220</v>
      </c>
      <c r="E84" t="s">
        <v>60</v>
      </c>
      <c r="F84" t="s">
        <v>234</v>
      </c>
      <c r="G84" s="2"/>
      <c r="J84" s="1"/>
      <c r="L84" s="1" t="s">
        <v>382</v>
      </c>
      <c r="M84" t="str">
        <f>IF(Fields[[#This Row],[Reference Entity]]&lt;&gt;"","t" &amp;Fields[[#This Row],[Reference Entity]],"")</f>
        <v/>
      </c>
      <c r="N84" t="str">
        <f>IF(Fields[[#This Row],[Reference Entity]]&lt;&gt;"",RIGHT(Fields[[#This Row],[Column Name]],LEN(Fields[[#This Row],[Column Name]])-2),"")</f>
        <v/>
      </c>
      <c r="P84" s="1"/>
      <c r="Q84" s="1"/>
      <c r="T84" s="1"/>
      <c r="U84" s="1"/>
    </row>
    <row r="85" spans="1:21" x14ac:dyDescent="0.3">
      <c r="A85">
        <v>15</v>
      </c>
      <c r="B85" t="s">
        <v>157</v>
      </c>
      <c r="C85" t="s">
        <v>217</v>
      </c>
      <c r="D85" s="1" t="s">
        <v>221</v>
      </c>
      <c r="E85" t="s">
        <v>60</v>
      </c>
      <c r="F85" t="s">
        <v>234</v>
      </c>
      <c r="G85" s="2"/>
      <c r="J85" s="1"/>
      <c r="L85" s="1" t="s">
        <v>382</v>
      </c>
      <c r="M85" t="str">
        <f>IF(Fields[[#This Row],[Reference Entity]]&lt;&gt;"","t" &amp;Fields[[#This Row],[Reference Entity]],"")</f>
        <v/>
      </c>
      <c r="N85" t="str">
        <f>IF(Fields[[#This Row],[Reference Entity]]&lt;&gt;"",RIGHT(Fields[[#This Row],[Column Name]],LEN(Fields[[#This Row],[Column Name]])-2),"")</f>
        <v/>
      </c>
      <c r="P85" s="1"/>
      <c r="Q85" s="1"/>
      <c r="T85" s="1"/>
      <c r="U85" s="1"/>
    </row>
    <row r="86" spans="1:21" x14ac:dyDescent="0.3">
      <c r="A86">
        <v>16</v>
      </c>
      <c r="B86" t="s">
        <v>157</v>
      </c>
      <c r="C86" t="s">
        <v>862</v>
      </c>
      <c r="D86" s="1" t="s">
        <v>863</v>
      </c>
      <c r="E86" t="s">
        <v>45</v>
      </c>
      <c r="F86" t="s">
        <v>239</v>
      </c>
      <c r="G86" s="2" t="s">
        <v>238</v>
      </c>
      <c r="H86" t="s">
        <v>20</v>
      </c>
      <c r="J86" s="1"/>
      <c r="L86" s="1"/>
      <c r="M86" t="str">
        <f>IF(Fields[[#This Row],[Reference Entity]]&lt;&gt;"","t" &amp;Fields[[#This Row],[Reference Entity]],"")</f>
        <v/>
      </c>
      <c r="P86" s="1"/>
      <c r="Q86" s="1"/>
      <c r="T86" s="1"/>
      <c r="U86" s="1"/>
    </row>
    <row r="87" spans="1:21" x14ac:dyDescent="0.3">
      <c r="A87">
        <v>17</v>
      </c>
      <c r="B87" t="s">
        <v>157</v>
      </c>
      <c r="C87" t="s">
        <v>864</v>
      </c>
      <c r="D87" s="1" t="s">
        <v>865</v>
      </c>
      <c r="E87" t="s">
        <v>124</v>
      </c>
      <c r="F87" t="s">
        <v>233</v>
      </c>
      <c r="G87" s="2"/>
      <c r="I87">
        <v>0</v>
      </c>
      <c r="J87" s="1"/>
      <c r="L87" s="1"/>
      <c r="M87" t="str">
        <f>IF(Fields[[#This Row],[Reference Entity]]&lt;&gt;"","t" &amp;Fields[[#This Row],[Reference Entity]],"")</f>
        <v/>
      </c>
      <c r="P87" s="1"/>
      <c r="Q87" s="1"/>
      <c r="T87" s="1"/>
      <c r="U87" s="1"/>
    </row>
    <row r="88" spans="1:21" ht="57.6" x14ac:dyDescent="0.3">
      <c r="A88">
        <v>18</v>
      </c>
      <c r="B88" t="s">
        <v>157</v>
      </c>
      <c r="C88" t="s">
        <v>885</v>
      </c>
      <c r="D88" s="1" t="s">
        <v>37</v>
      </c>
      <c r="E88" t="s">
        <v>19</v>
      </c>
      <c r="F88" t="s">
        <v>239</v>
      </c>
      <c r="G88" s="2">
        <v>15</v>
      </c>
      <c r="H88" t="s">
        <v>20</v>
      </c>
      <c r="J88" s="1"/>
      <c r="L88" s="1"/>
      <c r="M88" t="str">
        <f>IF(Fields[[#This Row],[Reference Entity]]&lt;&gt;"","t" &amp;Fields[[#This Row],[Reference Entity]],"")</f>
        <v/>
      </c>
      <c r="P88" s="1"/>
      <c r="Q88" s="1"/>
      <c r="T88" s="1"/>
      <c r="U88" s="1"/>
    </row>
    <row r="89" spans="1:21" x14ac:dyDescent="0.3">
      <c r="A89">
        <v>19</v>
      </c>
      <c r="B89" t="s">
        <v>157</v>
      </c>
      <c r="C89" t="s">
        <v>520</v>
      </c>
      <c r="D89" s="1" t="s">
        <v>890</v>
      </c>
      <c r="E89" t="s">
        <v>124</v>
      </c>
      <c r="F89" t="s">
        <v>233</v>
      </c>
      <c r="G89" s="2"/>
      <c r="I89">
        <v>0</v>
      </c>
      <c r="J89" s="1"/>
      <c r="L89" s="1"/>
      <c r="M89" t="str">
        <f>IF(Fields[[#This Row],[Reference Entity]]&lt;&gt;"","t" &amp;Fields[[#This Row],[Reference Entity]],"")</f>
        <v/>
      </c>
      <c r="P89" s="1"/>
      <c r="Q89" s="1"/>
      <c r="T89" s="1"/>
      <c r="U89" s="1"/>
    </row>
    <row r="90" spans="1:21" ht="28.8" x14ac:dyDescent="0.3">
      <c r="A90">
        <v>20</v>
      </c>
      <c r="B90" t="s">
        <v>157</v>
      </c>
      <c r="C90" t="s">
        <v>892</v>
      </c>
      <c r="D90" s="1" t="s">
        <v>893</v>
      </c>
      <c r="E90" t="s">
        <v>16</v>
      </c>
      <c r="F90" t="s">
        <v>4</v>
      </c>
      <c r="G90" s="2"/>
      <c r="H90" t="s">
        <v>20</v>
      </c>
      <c r="J90" s="1"/>
      <c r="L90" s="1"/>
      <c r="M90" t="str">
        <f>IF(Fields[[#This Row],[Reference Entity]]&lt;&gt;"","t" &amp;Fields[[#This Row],[Reference Entity]],"")</f>
        <v/>
      </c>
      <c r="P90" s="1"/>
      <c r="Q90" s="1"/>
      <c r="T90" s="1"/>
      <c r="U90" s="1"/>
    </row>
    <row r="91" spans="1:21" x14ac:dyDescent="0.3">
      <c r="A91">
        <v>21</v>
      </c>
      <c r="B91" t="s">
        <v>157</v>
      </c>
      <c r="C91" t="s">
        <v>900</v>
      </c>
      <c r="D91" s="1" t="s">
        <v>901</v>
      </c>
      <c r="E91" t="s">
        <v>16</v>
      </c>
      <c r="F91" t="s">
        <v>4</v>
      </c>
      <c r="G91" s="2"/>
      <c r="H91" t="s">
        <v>20</v>
      </c>
      <c r="J91" s="1"/>
      <c r="L91" s="1"/>
      <c r="M91" t="str">
        <f>IF(Fields[[#This Row],[Reference Entity]]&lt;&gt;"","t" &amp;Fields[[#This Row],[Reference Entity]],"")</f>
        <v/>
      </c>
      <c r="P91" s="1"/>
      <c r="Q91" s="1"/>
      <c r="T91" s="1"/>
      <c r="U91" s="1"/>
    </row>
    <row r="92" spans="1:21" ht="28.8" x14ac:dyDescent="0.3">
      <c r="A92">
        <v>22</v>
      </c>
      <c r="B92" t="s">
        <v>157</v>
      </c>
      <c r="C92" t="s">
        <v>913</v>
      </c>
      <c r="D92" s="1" t="s">
        <v>914</v>
      </c>
      <c r="E92" t="s">
        <v>19</v>
      </c>
      <c r="F92" t="s">
        <v>239</v>
      </c>
      <c r="G92" s="2">
        <v>250</v>
      </c>
      <c r="H92" t="s">
        <v>20</v>
      </c>
      <c r="J92" s="1"/>
      <c r="L92" s="1"/>
      <c r="M92" t="str">
        <f>IF(Fields[[#This Row],[Reference Entity]]&lt;&gt;"","t" &amp;Fields[[#This Row],[Reference Entity]],"")</f>
        <v/>
      </c>
      <c r="P92" s="1"/>
      <c r="Q92" s="1"/>
      <c r="T92" s="1"/>
      <c r="U92" s="1"/>
    </row>
    <row r="93" spans="1:21" ht="25.8" customHeight="1" x14ac:dyDescent="0.3">
      <c r="A93">
        <v>23</v>
      </c>
      <c r="B93" t="s">
        <v>157</v>
      </c>
      <c r="C93" t="s">
        <v>3</v>
      </c>
      <c r="D93" s="1" t="s">
        <v>915</v>
      </c>
      <c r="E93" t="s">
        <v>19</v>
      </c>
      <c r="F93" t="s">
        <v>239</v>
      </c>
      <c r="G93" s="2">
        <v>250</v>
      </c>
      <c r="H93" t="s">
        <v>20</v>
      </c>
      <c r="J93" s="1"/>
      <c r="L93" s="1"/>
      <c r="M93" t="str">
        <f>IF(Fields[[#This Row],[Reference Entity]]&lt;&gt;"","t" &amp;Fields[[#This Row],[Reference Entity]],"")</f>
        <v/>
      </c>
      <c r="P93" s="1"/>
      <c r="Q93" s="1"/>
      <c r="T93" s="1"/>
      <c r="U93" s="1"/>
    </row>
    <row r="94" spans="1:21" x14ac:dyDescent="0.3">
      <c r="A94">
        <v>1</v>
      </c>
      <c r="B94" t="s">
        <v>8</v>
      </c>
      <c r="C94" t="s">
        <v>303</v>
      </c>
      <c r="D94" s="1" t="s">
        <v>21</v>
      </c>
      <c r="E94" t="s">
        <v>19</v>
      </c>
      <c r="F94" t="s">
        <v>239</v>
      </c>
      <c r="G94" s="2">
        <v>30</v>
      </c>
      <c r="L94" s="1" t="s">
        <v>382</v>
      </c>
      <c r="M94" t="str">
        <f>IF(Fields[[#This Row],[Reference Entity]]&lt;&gt;"","t" &amp;Fields[[#This Row],[Reference Entity]],"")</f>
        <v/>
      </c>
      <c r="N94" t="str">
        <f>IF(Fields[[#This Row],[Reference Entity]]&lt;&gt;"",RIGHT(Fields[[#This Row],[Column Name]],LEN(Fields[[#This Row],[Column Name]])-2),"")</f>
        <v/>
      </c>
      <c r="P94" s="1"/>
      <c r="R94"/>
      <c r="S94"/>
    </row>
    <row r="95" spans="1:21" x14ac:dyDescent="0.3">
      <c r="A95">
        <v>2</v>
      </c>
      <c r="B95" t="s">
        <v>8</v>
      </c>
      <c r="C95" t="s">
        <v>298</v>
      </c>
      <c r="D95" s="1" t="s">
        <v>110</v>
      </c>
      <c r="E95" t="s">
        <v>488</v>
      </c>
      <c r="F95" t="s">
        <v>487</v>
      </c>
      <c r="G95" s="2"/>
      <c r="L95" s="1" t="s">
        <v>333</v>
      </c>
      <c r="M95" t="str">
        <f>IF(Fields[[#This Row],[Reference Entity]]&lt;&gt;"","t" &amp;Fields[[#This Row],[Reference Entity]],"")</f>
        <v>tCurrency</v>
      </c>
      <c r="N95" t="str">
        <f>IF(Fields[[#This Row],[Reference Entity]]&lt;&gt;"",RIGHT(Fields[[#This Row],[Column Name]],LEN(Fields[[#This Row],[Column Name]])-2),"")</f>
        <v>CurrencyClient</v>
      </c>
      <c r="P95" s="1"/>
      <c r="Q95" t="str">
        <f>Fields[[#This Row],[Column Name]]</f>
        <v>idCurrencyClient</v>
      </c>
      <c r="R95"/>
      <c r="S95"/>
    </row>
    <row r="96" spans="1:21" x14ac:dyDescent="0.3">
      <c r="A96">
        <v>3</v>
      </c>
      <c r="B96" t="s">
        <v>8</v>
      </c>
      <c r="C96" t="s">
        <v>151</v>
      </c>
      <c r="D96" s="1" t="s">
        <v>152</v>
      </c>
      <c r="E96" t="s">
        <v>18</v>
      </c>
      <c r="F96" t="s">
        <v>6</v>
      </c>
      <c r="G96" s="2"/>
      <c r="I96">
        <v>0</v>
      </c>
      <c r="L96" s="1" t="s">
        <v>382</v>
      </c>
      <c r="M96" t="str">
        <f>IF(Fields[[#This Row],[Reference Entity]]&lt;&gt;"","t" &amp;Fields[[#This Row],[Reference Entity]],"")</f>
        <v/>
      </c>
      <c r="N96" t="str">
        <f>IF(Fields[[#This Row],[Reference Entity]]&lt;&gt;"",RIGHT(Fields[[#This Row],[Column Name]],LEN(Fields[[#This Row],[Column Name]])-2),"")</f>
        <v/>
      </c>
      <c r="P96" s="1"/>
      <c r="R96"/>
      <c r="S96"/>
    </row>
    <row r="97" spans="1:21" x14ac:dyDescent="0.3">
      <c r="A97">
        <v>4</v>
      </c>
      <c r="B97" t="s">
        <v>8</v>
      </c>
      <c r="C97" t="s">
        <v>199</v>
      </c>
      <c r="D97" s="1" t="s">
        <v>200</v>
      </c>
      <c r="E97" t="s">
        <v>30</v>
      </c>
      <c r="F97" t="s">
        <v>4</v>
      </c>
      <c r="G97" s="2"/>
      <c r="I97">
        <v>1</v>
      </c>
      <c r="L97" s="1" t="s">
        <v>382</v>
      </c>
      <c r="M97" t="str">
        <f>IF(Fields[[#This Row],[Reference Entity]]&lt;&gt;"","t" &amp;Fields[[#This Row],[Reference Entity]],"")</f>
        <v/>
      </c>
      <c r="N97" t="str">
        <f>IF(Fields[[#This Row],[Reference Entity]]&lt;&gt;"",RIGHT(Fields[[#This Row],[Column Name]],LEN(Fields[[#This Row],[Column Name]])-2),"")</f>
        <v/>
      </c>
      <c r="P97" s="1"/>
      <c r="R97"/>
      <c r="S97"/>
    </row>
    <row r="98" spans="1:21" x14ac:dyDescent="0.3">
      <c r="A98">
        <v>5</v>
      </c>
      <c r="B98" t="s">
        <v>8</v>
      </c>
      <c r="C98" t="s">
        <v>738</v>
      </c>
      <c r="D98" s="1" t="s">
        <v>739</v>
      </c>
      <c r="E98" t="s">
        <v>30</v>
      </c>
      <c r="F98" t="s">
        <v>4</v>
      </c>
      <c r="G98" s="2"/>
      <c r="H98" t="s">
        <v>20</v>
      </c>
      <c r="L98" s="1"/>
      <c r="M98" t="str">
        <f>IF(Fields[[#This Row],[Reference Entity]]&lt;&gt;"","t" &amp;Fields[[#This Row],[Reference Entity]],"")</f>
        <v/>
      </c>
      <c r="P98" s="1"/>
      <c r="R98"/>
      <c r="S98"/>
    </row>
    <row r="99" spans="1:21" x14ac:dyDescent="0.3">
      <c r="A99">
        <v>6</v>
      </c>
      <c r="B99" t="s">
        <v>8</v>
      </c>
      <c r="C99" t="s">
        <v>881</v>
      </c>
      <c r="D99" s="1" t="s">
        <v>882</v>
      </c>
      <c r="E99" t="s">
        <v>488</v>
      </c>
      <c r="F99" t="s">
        <v>487</v>
      </c>
      <c r="G99" s="2"/>
      <c r="H99" t="s">
        <v>20</v>
      </c>
      <c r="L99" s="1" t="s">
        <v>340</v>
      </c>
      <c r="M99" t="str">
        <f>IF(Fields[[#This Row],[Reference Entity]]&lt;&gt;"","t" &amp;Fields[[#This Row],[Reference Entity]],"")</f>
        <v>tReferenceGroup</v>
      </c>
      <c r="N99" t="s">
        <v>340</v>
      </c>
      <c r="P99" s="1"/>
      <c r="R99"/>
      <c r="S99"/>
    </row>
    <row r="100" spans="1:21" x14ac:dyDescent="0.3">
      <c r="A100">
        <v>7</v>
      </c>
      <c r="B100" t="s">
        <v>8</v>
      </c>
      <c r="C100" t="s">
        <v>902</v>
      </c>
      <c r="D100" s="1" t="s">
        <v>903</v>
      </c>
      <c r="E100" t="s">
        <v>897</v>
      </c>
      <c r="F100" t="s">
        <v>388</v>
      </c>
      <c r="G100" s="2"/>
      <c r="H100" t="s">
        <v>20</v>
      </c>
      <c r="L100" s="1"/>
      <c r="M100" t="str">
        <f>IF(Fields[[#This Row],[Reference Entity]]&lt;&gt;"","t" &amp;Fields[[#This Row],[Reference Entity]],"")</f>
        <v/>
      </c>
      <c r="P100" s="1"/>
      <c r="T100" s="1"/>
      <c r="U100" s="1"/>
    </row>
    <row r="101" spans="1:21" x14ac:dyDescent="0.3">
      <c r="A101">
        <v>8</v>
      </c>
      <c r="B101" t="s">
        <v>8</v>
      </c>
      <c r="C101" t="s">
        <v>905</v>
      </c>
      <c r="D101" s="1" t="s">
        <v>906</v>
      </c>
      <c r="E101" t="s">
        <v>19</v>
      </c>
      <c r="F101" t="s">
        <v>239</v>
      </c>
      <c r="G101" s="2">
        <v>500</v>
      </c>
      <c r="H101" t="s">
        <v>20</v>
      </c>
      <c r="L101" s="1"/>
      <c r="M101" t="str">
        <f>IF(Fields[[#This Row],[Reference Entity]]&lt;&gt;"","t" &amp;Fields[[#This Row],[Reference Entity]],"")</f>
        <v/>
      </c>
      <c r="P101" s="1"/>
      <c r="T101" s="1"/>
      <c r="U101" s="1"/>
    </row>
    <row r="102" spans="1:21" x14ac:dyDescent="0.3">
      <c r="A102">
        <v>9</v>
      </c>
      <c r="B102" t="s">
        <v>8</v>
      </c>
      <c r="C102" t="s">
        <v>907</v>
      </c>
      <c r="D102" s="1" t="s">
        <v>908</v>
      </c>
      <c r="E102" t="s">
        <v>30</v>
      </c>
      <c r="F102" t="s">
        <v>4</v>
      </c>
      <c r="G102" s="2"/>
      <c r="I102">
        <v>0</v>
      </c>
      <c r="L102" s="1"/>
      <c r="M102" t="str">
        <f>IF(Fields[[#This Row],[Reference Entity]]&lt;&gt;"","t" &amp;Fields[[#This Row],[Reference Entity]],"")</f>
        <v/>
      </c>
      <c r="P102" s="1"/>
      <c r="T102" s="1"/>
      <c r="U102" s="1"/>
    </row>
    <row r="103" spans="1:21" x14ac:dyDescent="0.3">
      <c r="A103">
        <v>1</v>
      </c>
      <c r="B103" t="s">
        <v>9</v>
      </c>
      <c r="C103" t="s">
        <v>5</v>
      </c>
      <c r="D103" s="1" t="s">
        <v>10</v>
      </c>
      <c r="E103" t="s">
        <v>488</v>
      </c>
      <c r="F103" t="s">
        <v>487</v>
      </c>
      <c r="G103" s="2"/>
      <c r="L103" s="1" t="s">
        <v>147</v>
      </c>
      <c r="M103" t="str">
        <f>IF(Fields[[#This Row],[Reference Entity]]&lt;&gt;"","t" &amp;Fields[[#This Row],[Reference Entity]],"")</f>
        <v>tClient</v>
      </c>
      <c r="N103" t="str">
        <f>IF(Fields[[#This Row],[Reference Entity]]&lt;&gt;"",RIGHT(Fields[[#This Row],[Column Name]],LEN(Fields[[#This Row],[Column Name]])-2),"")</f>
        <v>Client</v>
      </c>
      <c r="O103" t="s">
        <v>142</v>
      </c>
      <c r="P103" s="1"/>
      <c r="Q103" t="s">
        <v>25</v>
      </c>
      <c r="R103" t="s">
        <v>20</v>
      </c>
      <c r="S103"/>
    </row>
    <row r="104" spans="1:21" x14ac:dyDescent="0.3">
      <c r="A104">
        <v>2</v>
      </c>
      <c r="B104" t="s">
        <v>9</v>
      </c>
      <c r="C104" t="s">
        <v>285</v>
      </c>
      <c r="D104" s="1" t="s">
        <v>26</v>
      </c>
      <c r="E104" t="s">
        <v>19</v>
      </c>
      <c r="F104" t="s">
        <v>239</v>
      </c>
      <c r="G104" s="2">
        <v>12</v>
      </c>
      <c r="L104" s="1" t="s">
        <v>382</v>
      </c>
      <c r="M104" t="str">
        <f>IF(Fields[[#This Row],[Reference Entity]]&lt;&gt;"","t" &amp;Fields[[#This Row],[Reference Entity]],"")</f>
        <v/>
      </c>
      <c r="N104" t="str">
        <f>IF(Fields[[#This Row],[Reference Entity]]&lt;&gt;"",RIGHT(Fields[[#This Row],[Column Name]],LEN(Fields[[#This Row],[Column Name]])-2),"")</f>
        <v/>
      </c>
      <c r="P104" s="1"/>
      <c r="Q104" t="s">
        <v>25</v>
      </c>
      <c r="R104" t="s">
        <v>20</v>
      </c>
      <c r="S104"/>
    </row>
    <row r="105" spans="1:21" x14ac:dyDescent="0.3">
      <c r="A105">
        <v>3</v>
      </c>
      <c r="B105" t="s">
        <v>9</v>
      </c>
      <c r="C105" t="s">
        <v>304</v>
      </c>
      <c r="D105" s="1" t="s">
        <v>27</v>
      </c>
      <c r="E105" t="s">
        <v>19</v>
      </c>
      <c r="F105" t="s">
        <v>239</v>
      </c>
      <c r="G105" s="2">
        <v>50</v>
      </c>
      <c r="L105" s="1" t="s">
        <v>382</v>
      </c>
      <c r="M105" t="str">
        <f>IF(Fields[[#This Row],[Reference Entity]]&lt;&gt;"","t" &amp;Fields[[#This Row],[Reference Entity]],"")</f>
        <v/>
      </c>
      <c r="N105" t="str">
        <f>IF(Fields[[#This Row],[Reference Entity]]&lt;&gt;"",RIGHT(Fields[[#This Row],[Column Name]],LEN(Fields[[#This Row],[Column Name]])-2),"")</f>
        <v/>
      </c>
      <c r="P105" s="1"/>
      <c r="R105"/>
      <c r="S105"/>
    </row>
    <row r="106" spans="1:21" x14ac:dyDescent="0.3">
      <c r="A106">
        <v>4</v>
      </c>
      <c r="B106" t="s">
        <v>9</v>
      </c>
      <c r="C106" t="s">
        <v>571</v>
      </c>
      <c r="D106" s="1"/>
      <c r="E106" t="s">
        <v>19</v>
      </c>
      <c r="F106" t="s">
        <v>239</v>
      </c>
      <c r="G106" s="2">
        <v>50</v>
      </c>
      <c r="H106" t="s">
        <v>20</v>
      </c>
      <c r="L106" s="1"/>
      <c r="M106" t="str">
        <f>IF(Fields[[#This Row],[Reference Entity]]&lt;&gt;"","t" &amp;Fields[[#This Row],[Reference Entity]],"")</f>
        <v/>
      </c>
      <c r="P106" s="1"/>
      <c r="R106"/>
      <c r="S106"/>
    </row>
    <row r="107" spans="1:21" x14ac:dyDescent="0.3">
      <c r="A107">
        <v>5</v>
      </c>
      <c r="B107" t="s">
        <v>9</v>
      </c>
      <c r="C107" t="s">
        <v>67</v>
      </c>
      <c r="D107" s="1" t="s">
        <v>28</v>
      </c>
      <c r="E107" t="s">
        <v>18</v>
      </c>
      <c r="F107" t="s">
        <v>6</v>
      </c>
      <c r="G107" s="2"/>
      <c r="I107">
        <v>0</v>
      </c>
      <c r="L107" s="1" t="s">
        <v>382</v>
      </c>
      <c r="M107" t="str">
        <f>IF(Fields[[#This Row],[Reference Entity]]&lt;&gt;"","t" &amp;Fields[[#This Row],[Reference Entity]],"")</f>
        <v/>
      </c>
      <c r="N107" t="str">
        <f>IF(Fields[[#This Row],[Reference Entity]]&lt;&gt;"",RIGHT(Fields[[#This Row],[Column Name]],LEN(Fields[[#This Row],[Column Name]])-2),"")</f>
        <v/>
      </c>
      <c r="P107" s="1"/>
      <c r="R107"/>
      <c r="S107"/>
    </row>
    <row r="108" spans="1:21" x14ac:dyDescent="0.3">
      <c r="A108">
        <v>6</v>
      </c>
      <c r="B108" t="s">
        <v>9</v>
      </c>
      <c r="C108" t="s">
        <v>572</v>
      </c>
      <c r="D108" s="1"/>
      <c r="E108" t="s">
        <v>45</v>
      </c>
      <c r="F108" t="s">
        <v>239</v>
      </c>
      <c r="G108" s="2" t="s">
        <v>238</v>
      </c>
      <c r="H108" t="s">
        <v>20</v>
      </c>
      <c r="L108" s="1"/>
      <c r="M108" t="str">
        <f>IF(Fields[[#This Row],[Reference Entity]]&lt;&gt;"","t" &amp;Fields[[#This Row],[Reference Entity]],"")</f>
        <v/>
      </c>
      <c r="P108" s="1"/>
      <c r="R108"/>
      <c r="S108"/>
    </row>
    <row r="109" spans="1:21" x14ac:dyDescent="0.3">
      <c r="A109">
        <v>1</v>
      </c>
      <c r="B109" t="s">
        <v>65</v>
      </c>
      <c r="C109" t="s">
        <v>286</v>
      </c>
      <c r="D109" s="1" t="s">
        <v>112</v>
      </c>
      <c r="E109" t="s">
        <v>19</v>
      </c>
      <c r="F109" t="s">
        <v>239</v>
      </c>
      <c r="G109" s="2">
        <v>3</v>
      </c>
      <c r="L109" s="1" t="s">
        <v>382</v>
      </c>
      <c r="M109" t="str">
        <f>IF(Fields[[#This Row],[Reference Entity]]&lt;&gt;"","t" &amp;Fields[[#This Row],[Reference Entity]],"")</f>
        <v/>
      </c>
      <c r="N109" t="str">
        <f>IF(Fields[[#This Row],[Reference Entity]]&lt;&gt;"",RIGHT(Fields[[#This Row],[Column Name]],LEN(Fields[[#This Row],[Column Name]])-2),"")</f>
        <v/>
      </c>
      <c r="P109" s="1"/>
      <c r="R109"/>
      <c r="S109"/>
    </row>
    <row r="110" spans="1:21" x14ac:dyDescent="0.3">
      <c r="A110">
        <v>2</v>
      </c>
      <c r="B110" t="s">
        <v>65</v>
      </c>
      <c r="C110" t="s">
        <v>305</v>
      </c>
      <c r="D110" s="1" t="s">
        <v>113</v>
      </c>
      <c r="E110" t="s">
        <v>19</v>
      </c>
      <c r="F110" t="s">
        <v>239</v>
      </c>
      <c r="G110" s="2">
        <v>30</v>
      </c>
      <c r="L110" s="1" t="s">
        <v>382</v>
      </c>
      <c r="M110" t="str">
        <f>IF(Fields[[#This Row],[Reference Entity]]&lt;&gt;"","t" &amp;Fields[[#This Row],[Reference Entity]],"")</f>
        <v/>
      </c>
      <c r="N110" t="str">
        <f>IF(Fields[[#This Row],[Reference Entity]]&lt;&gt;"",RIGHT(Fields[[#This Row],[Column Name]],LEN(Fields[[#This Row],[Column Name]])-2),"")</f>
        <v/>
      </c>
      <c r="P110" s="1"/>
      <c r="R110"/>
      <c r="S110"/>
    </row>
    <row r="111" spans="1:21" ht="28.8" x14ac:dyDescent="0.3">
      <c r="A111">
        <v>1</v>
      </c>
      <c r="B111" t="s">
        <v>512</v>
      </c>
      <c r="C111" t="s">
        <v>5</v>
      </c>
      <c r="D111" s="1" t="s">
        <v>514</v>
      </c>
      <c r="E111" t="s">
        <v>488</v>
      </c>
      <c r="F111" t="s">
        <v>487</v>
      </c>
      <c r="G111" s="2"/>
      <c r="L111" s="1" t="s">
        <v>147</v>
      </c>
      <c r="M111" t="str">
        <f>IF(Fields[[#This Row],[Reference Entity]]&lt;&gt;"","t" &amp;Fields[[#This Row],[Reference Entity]],"")</f>
        <v>tClient</v>
      </c>
      <c r="N111" t="str">
        <f>IF(Fields[[#This Row],[Reference Entity]]&lt;&gt;"",RIGHT(Fields[[#This Row],[Column Name]],LEN(Fields[[#This Row],[Column Name]])-2),"")</f>
        <v>Client</v>
      </c>
      <c r="O111" t="s">
        <v>142</v>
      </c>
      <c r="P111" s="1"/>
      <c r="Q111" t="str">
        <f>Fields[[#This Row],[Column Name]]</f>
        <v>idClient</v>
      </c>
      <c r="R111"/>
      <c r="S111"/>
    </row>
    <row r="112" spans="1:21" ht="43.2" x14ac:dyDescent="0.3">
      <c r="A112">
        <v>2</v>
      </c>
      <c r="B112" t="s">
        <v>512</v>
      </c>
      <c r="C112" t="s">
        <v>53</v>
      </c>
      <c r="D112" s="1" t="s">
        <v>513</v>
      </c>
      <c r="E112" t="s">
        <v>488</v>
      </c>
      <c r="F112" t="s">
        <v>487</v>
      </c>
      <c r="G112" s="2"/>
      <c r="H112" t="s">
        <v>20</v>
      </c>
      <c r="L112" s="1" t="s">
        <v>342</v>
      </c>
      <c r="M112" t="str">
        <f>IF(Fields[[#This Row],[Reference Entity]]&lt;&gt;"","t" &amp;Fields[[#This Row],[Reference Entity]],"")</f>
        <v>tPlan</v>
      </c>
      <c r="N112" t="str">
        <f>IF(Fields[[#This Row],[Reference Entity]]&lt;&gt;"",RIGHT(Fields[[#This Row],[Column Name]],LEN(Fields[[#This Row],[Column Name]])-2),"")</f>
        <v>Plan</v>
      </c>
      <c r="P112" s="1"/>
      <c r="Q112" t="str">
        <f>Fields[[#This Row],[Column Name]]</f>
        <v>idPlan</v>
      </c>
      <c r="R112"/>
      <c r="S112"/>
    </row>
    <row r="113" spans="1:22" x14ac:dyDescent="0.3">
      <c r="A113">
        <v>3</v>
      </c>
      <c r="B113" t="s">
        <v>512</v>
      </c>
      <c r="C113" t="s">
        <v>299</v>
      </c>
      <c r="D113" s="1" t="s">
        <v>114</v>
      </c>
      <c r="E113" t="s">
        <v>488</v>
      </c>
      <c r="F113" t="s">
        <v>487</v>
      </c>
      <c r="G113" s="2"/>
      <c r="L113" s="1" t="s">
        <v>333</v>
      </c>
      <c r="M113" t="str">
        <f>IF(Fields[[#This Row],[Reference Entity]]&lt;&gt;"","t" &amp;Fields[[#This Row],[Reference Entity]],"")</f>
        <v>tCurrency</v>
      </c>
      <c r="N113" t="str">
        <f>IF(Fields[[#This Row],[Reference Entity]]&lt;&gt;"",RIGHT(Fields[[#This Row],[Column Name]],LEN(Fields[[#This Row],[Column Name]])-2),"")</f>
        <v>CurrencyExchangeRate</v>
      </c>
      <c r="P113" s="1"/>
      <c r="Q113" t="str">
        <f>Fields[[#This Row],[Column Name]]</f>
        <v>idCurrencyExchangeRate</v>
      </c>
      <c r="R113"/>
      <c r="S113"/>
    </row>
    <row r="114" spans="1:22" ht="28.8" x14ac:dyDescent="0.3">
      <c r="A114">
        <v>4</v>
      </c>
      <c r="B114" t="s">
        <v>512</v>
      </c>
      <c r="C114" t="s">
        <v>515</v>
      </c>
      <c r="D114" s="1" t="s">
        <v>516</v>
      </c>
      <c r="E114" t="s">
        <v>17</v>
      </c>
      <c r="F114" t="s">
        <v>388</v>
      </c>
      <c r="G114" s="2"/>
      <c r="L114" s="1"/>
      <c r="M114" t="str">
        <f>IF(Fields[[#This Row],[Reference Entity]]&lt;&gt;"","t" &amp;Fields[[#This Row],[Reference Entity]],"")</f>
        <v/>
      </c>
      <c r="P114" s="1"/>
      <c r="Q114" t="s">
        <v>517</v>
      </c>
      <c r="R114"/>
      <c r="S114"/>
    </row>
    <row r="115" spans="1:22" x14ac:dyDescent="0.3">
      <c r="A115">
        <v>5</v>
      </c>
      <c r="B115" t="s">
        <v>512</v>
      </c>
      <c r="C115" t="s">
        <v>115</v>
      </c>
      <c r="D115" s="1" t="s">
        <v>116</v>
      </c>
      <c r="E115" t="s">
        <v>60</v>
      </c>
      <c r="F115" t="s">
        <v>234</v>
      </c>
      <c r="G115" s="2"/>
      <c r="L115" s="1" t="s">
        <v>382</v>
      </c>
      <c r="M115" t="str">
        <f>IF(Fields[[#This Row],[Reference Entity]]&lt;&gt;"","t" &amp;Fields[[#This Row],[Reference Entity]],"")</f>
        <v/>
      </c>
      <c r="N115" t="str">
        <f>IF(Fields[[#This Row],[Reference Entity]]&lt;&gt;"",RIGHT(Fields[[#This Row],[Column Name]],LEN(Fields[[#This Row],[Column Name]])-2),"")</f>
        <v/>
      </c>
      <c r="P115" s="1"/>
      <c r="R115"/>
      <c r="S115"/>
    </row>
    <row r="116" spans="1:22" x14ac:dyDescent="0.3">
      <c r="A116">
        <v>1</v>
      </c>
      <c r="B116" t="s">
        <v>158</v>
      </c>
      <c r="C116" t="s">
        <v>5</v>
      </c>
      <c r="D116" s="1" t="s">
        <v>174</v>
      </c>
      <c r="E116" t="s">
        <v>488</v>
      </c>
      <c r="F116" t="s">
        <v>487</v>
      </c>
      <c r="G116" s="2"/>
      <c r="L116" s="1" t="s">
        <v>147</v>
      </c>
      <c r="M116" t="str">
        <f>IF(Fields[[#This Row],[Reference Entity]]&lt;&gt;"","t" &amp;Fields[[#This Row],[Reference Entity]],"")</f>
        <v>tClient</v>
      </c>
      <c r="N116" t="str">
        <f>IF(Fields[[#This Row],[Reference Entity]]&lt;&gt;"",RIGHT(Fields[[#This Row],[Column Name]],LEN(Fields[[#This Row],[Column Name]])-2),"")</f>
        <v>Client</v>
      </c>
      <c r="O116" t="s">
        <v>142</v>
      </c>
      <c r="P116" s="1"/>
      <c r="Q116" t="str">
        <f>Fields[[#This Row],[Column Name]]</f>
        <v>idClient</v>
      </c>
      <c r="R116"/>
      <c r="S116"/>
      <c r="V116" s="1"/>
    </row>
    <row r="117" spans="1:22" x14ac:dyDescent="0.3">
      <c r="A117">
        <v>2</v>
      </c>
      <c r="B117" t="s">
        <v>158</v>
      </c>
      <c r="C117" t="s">
        <v>505</v>
      </c>
      <c r="D117" s="1" t="s">
        <v>506</v>
      </c>
      <c r="E117" t="s">
        <v>488</v>
      </c>
      <c r="F117" t="s">
        <v>487</v>
      </c>
      <c r="G117" s="2"/>
      <c r="L117" s="1" t="s">
        <v>335</v>
      </c>
      <c r="M117" t="str">
        <f>IF(Fields[[#This Row],[Reference Entity]]&lt;&gt;"","t" &amp;Fields[[#This Row],[Reference Entity]],"")</f>
        <v>tAccount</v>
      </c>
      <c r="N117" t="str">
        <f>IF(Fields[[#This Row],[Reference Entity]]&lt;&gt;"",RIGHT(Fields[[#This Row],[Column Name]],LEN(Fields[[#This Row],[Column Name]])-2),"")</f>
        <v>AccountActivation</v>
      </c>
      <c r="P117" s="1"/>
      <c r="Q117" t="str">
        <f>Fields[[#This Row],[Column Name]]</f>
        <v>idAccountActivation</v>
      </c>
      <c r="R117"/>
      <c r="S117"/>
      <c r="U117" t="s">
        <v>508</v>
      </c>
      <c r="V117" s="1"/>
    </row>
    <row r="118" spans="1:22" ht="28.8" x14ac:dyDescent="0.3">
      <c r="A118">
        <v>3</v>
      </c>
      <c r="B118" t="s">
        <v>158</v>
      </c>
      <c r="C118" t="s">
        <v>185</v>
      </c>
      <c r="D118" s="1" t="s">
        <v>793</v>
      </c>
      <c r="E118" t="s">
        <v>488</v>
      </c>
      <c r="F118" t="s">
        <v>487</v>
      </c>
      <c r="G118" s="2"/>
      <c r="H118" t="s">
        <v>20</v>
      </c>
      <c r="L118" s="1" t="s">
        <v>335</v>
      </c>
      <c r="M118" t="str">
        <f>IF(Fields[[#This Row],[Reference Entity]]&lt;&gt;"","t" &amp;Fields[[#This Row],[Reference Entity]],"")</f>
        <v>tAccount</v>
      </c>
      <c r="N118" t="str">
        <f>IF(Fields[[#This Row],[Reference Entity]]&lt;&gt;"",RIGHT(Fields[[#This Row],[Column Name]],LEN(Fields[[#This Row],[Column Name]])-2),"")</f>
        <v>AccountDepreciation</v>
      </c>
      <c r="P118" s="1"/>
      <c r="Q118" t="str">
        <f>Fields[[#This Row],[Column Name]]</f>
        <v>idAccountDepreciation</v>
      </c>
      <c r="R118"/>
      <c r="S118"/>
      <c r="U118" t="s">
        <v>509</v>
      </c>
      <c r="V118" s="1"/>
    </row>
    <row r="119" spans="1:22" x14ac:dyDescent="0.3">
      <c r="A119">
        <v>4</v>
      </c>
      <c r="B119" t="s">
        <v>158</v>
      </c>
      <c r="C119" t="s">
        <v>306</v>
      </c>
      <c r="D119" s="1"/>
      <c r="E119" t="s">
        <v>19</v>
      </c>
      <c r="F119" t="s">
        <v>239</v>
      </c>
      <c r="G119" s="2">
        <v>50</v>
      </c>
      <c r="J119" s="1"/>
      <c r="L119" s="1" t="s">
        <v>382</v>
      </c>
      <c r="M119" t="str">
        <f>IF(Fields[[#This Row],[Reference Entity]]&lt;&gt;"","t" &amp;Fields[[#This Row],[Reference Entity]],"")</f>
        <v/>
      </c>
      <c r="N119" t="str">
        <f>IF(Fields[[#This Row],[Reference Entity]]&lt;&gt;"",RIGHT(Fields[[#This Row],[Column Name]],LEN(Fields[[#This Row],[Column Name]])-2),"")</f>
        <v/>
      </c>
      <c r="P119" s="1"/>
      <c r="Q119" s="1"/>
      <c r="T119" s="1"/>
      <c r="U119" s="1"/>
    </row>
    <row r="120" spans="1:22" x14ac:dyDescent="0.3">
      <c r="A120">
        <v>5</v>
      </c>
      <c r="B120" t="s">
        <v>158</v>
      </c>
      <c r="C120" t="s">
        <v>183</v>
      </c>
      <c r="D120" s="1"/>
      <c r="E120" t="s">
        <v>30</v>
      </c>
      <c r="F120" t="s">
        <v>4</v>
      </c>
      <c r="G120" s="2"/>
      <c r="J120" s="1"/>
      <c r="L120" s="1" t="s">
        <v>382</v>
      </c>
      <c r="M120" t="str">
        <f>IF(Fields[[#This Row],[Reference Entity]]&lt;&gt;"","t" &amp;Fields[[#This Row],[Reference Entity]],"")</f>
        <v/>
      </c>
      <c r="N120" t="str">
        <f>IF(Fields[[#This Row],[Reference Entity]]&lt;&gt;"",RIGHT(Fields[[#This Row],[Column Name]],LEN(Fields[[#This Row],[Column Name]])-2),"")</f>
        <v/>
      </c>
      <c r="P120" s="1"/>
      <c r="Q120" s="1"/>
      <c r="T120" s="1"/>
      <c r="U120" s="1"/>
    </row>
    <row r="121" spans="1:22" x14ac:dyDescent="0.3">
      <c r="A121">
        <v>6</v>
      </c>
      <c r="B121" t="s">
        <v>158</v>
      </c>
      <c r="C121" t="s">
        <v>184</v>
      </c>
      <c r="D121" s="1"/>
      <c r="E121" t="s">
        <v>30</v>
      </c>
      <c r="F121" t="s">
        <v>4</v>
      </c>
      <c r="G121" s="2"/>
      <c r="I121">
        <v>1</v>
      </c>
      <c r="J121" s="1"/>
      <c r="L121" s="1" t="s">
        <v>382</v>
      </c>
      <c r="M121" t="str">
        <f>IF(Fields[[#This Row],[Reference Entity]]&lt;&gt;"","t" &amp;Fields[[#This Row],[Reference Entity]],"")</f>
        <v/>
      </c>
      <c r="N121" t="str">
        <f>IF(Fields[[#This Row],[Reference Entity]]&lt;&gt;"",RIGHT(Fields[[#This Row],[Column Name]],LEN(Fields[[#This Row],[Column Name]])-2),"")</f>
        <v/>
      </c>
      <c r="P121" s="1"/>
      <c r="Q121" s="1"/>
      <c r="T121" s="1"/>
      <c r="U121" s="1"/>
    </row>
    <row r="122" spans="1:22" x14ac:dyDescent="0.3">
      <c r="A122">
        <v>7</v>
      </c>
      <c r="B122" t="s">
        <v>158</v>
      </c>
      <c r="C122" t="s">
        <v>319</v>
      </c>
      <c r="D122" s="1" t="s">
        <v>187</v>
      </c>
      <c r="E122" t="s">
        <v>124</v>
      </c>
      <c r="F122" t="s">
        <v>233</v>
      </c>
      <c r="G122" s="2"/>
      <c r="J122" s="1"/>
      <c r="K122" s="5" t="s">
        <v>186</v>
      </c>
      <c r="L122" s="1" t="s">
        <v>382</v>
      </c>
      <c r="M122" t="str">
        <f>IF(Fields[[#This Row],[Reference Entity]]&lt;&gt;"","t" &amp;Fields[[#This Row],[Reference Entity]],"")</f>
        <v/>
      </c>
      <c r="N122" t="str">
        <f>IF(Fields[[#This Row],[Reference Entity]]&lt;&gt;"",RIGHT(Fields[[#This Row],[Column Name]],LEN(Fields[[#This Row],[Column Name]])-2),"")</f>
        <v/>
      </c>
      <c r="P122" s="1"/>
      <c r="Q122" s="1"/>
      <c r="T122" s="1"/>
      <c r="U122" s="1"/>
    </row>
    <row r="123" spans="1:22" x14ac:dyDescent="0.3">
      <c r="A123">
        <v>1</v>
      </c>
      <c r="B123" t="s">
        <v>762</v>
      </c>
      <c r="C123" t="s">
        <v>5</v>
      </c>
      <c r="D123" s="1"/>
      <c r="E123" t="s">
        <v>488</v>
      </c>
      <c r="F123" t="s">
        <v>487</v>
      </c>
      <c r="G123" s="2"/>
      <c r="L123" s="1" t="s">
        <v>147</v>
      </c>
      <c r="M123" t="str">
        <f>IF(Fields[[#This Row],[Reference Entity]]&lt;&gt;"","t" &amp;Fields[[#This Row],[Reference Entity]],"")</f>
        <v>tClient</v>
      </c>
      <c r="N123" t="s">
        <v>147</v>
      </c>
      <c r="O123" t="s">
        <v>142</v>
      </c>
      <c r="P123" s="1"/>
      <c r="T123" s="1"/>
      <c r="U123" s="1"/>
    </row>
    <row r="124" spans="1:22" x14ac:dyDescent="0.3">
      <c r="A124">
        <v>2</v>
      </c>
      <c r="B124" t="s">
        <v>762</v>
      </c>
      <c r="C124" t="s">
        <v>543</v>
      </c>
      <c r="D124" s="1"/>
      <c r="E124" t="s">
        <v>488</v>
      </c>
      <c r="F124" t="s">
        <v>487</v>
      </c>
      <c r="G124" s="2"/>
      <c r="H124" t="s">
        <v>20</v>
      </c>
      <c r="L124" s="1" t="s">
        <v>527</v>
      </c>
      <c r="M124" t="str">
        <f>IF(Fields[[#This Row],[Reference Entity]]&lt;&gt;"","t" &amp;Fields[[#This Row],[Reference Entity]],"")</f>
        <v>tUser</v>
      </c>
      <c r="N124" t="s">
        <v>527</v>
      </c>
      <c r="P124" s="1"/>
      <c r="T124" s="1"/>
      <c r="U124" s="1"/>
    </row>
    <row r="125" spans="1:22" x14ac:dyDescent="0.3">
      <c r="A125">
        <v>3</v>
      </c>
      <c r="B125" t="s">
        <v>762</v>
      </c>
      <c r="C125" t="s">
        <v>763</v>
      </c>
      <c r="D125" s="1"/>
      <c r="E125" t="s">
        <v>124</v>
      </c>
      <c r="F125" t="s">
        <v>233</v>
      </c>
      <c r="G125" s="2"/>
      <c r="K125" s="1" t="s">
        <v>763</v>
      </c>
      <c r="L125" s="1"/>
      <c r="M125" t="str">
        <f>IF(Fields[[#This Row],[Reference Entity]]&lt;&gt;"","t" &amp;Fields[[#This Row],[Reference Entity]],"")</f>
        <v/>
      </c>
      <c r="P125" s="1"/>
      <c r="T125" s="1"/>
      <c r="U125" s="1"/>
    </row>
    <row r="126" spans="1:22" x14ac:dyDescent="0.3">
      <c r="A126">
        <v>4</v>
      </c>
      <c r="B126" t="s">
        <v>762</v>
      </c>
      <c r="C126" t="s">
        <v>764</v>
      </c>
      <c r="D126" s="1"/>
      <c r="E126" t="s">
        <v>17</v>
      </c>
      <c r="F126" t="s">
        <v>388</v>
      </c>
      <c r="G126" s="2"/>
      <c r="L126" s="1"/>
      <c r="M126" t="str">
        <f>IF(Fields[[#This Row],[Reference Entity]]&lt;&gt;"","t" &amp;Fields[[#This Row],[Reference Entity]],"")</f>
        <v/>
      </c>
      <c r="P126" s="1"/>
      <c r="T126" s="1"/>
      <c r="U126" s="1"/>
    </row>
    <row r="127" spans="1:22" x14ac:dyDescent="0.3">
      <c r="A127">
        <v>5</v>
      </c>
      <c r="B127" t="s">
        <v>762</v>
      </c>
      <c r="C127" t="s">
        <v>765</v>
      </c>
      <c r="D127" s="1"/>
      <c r="E127" t="s">
        <v>17</v>
      </c>
      <c r="F127" t="s">
        <v>388</v>
      </c>
      <c r="G127" s="2"/>
      <c r="H127" t="s">
        <v>20</v>
      </c>
      <c r="L127" s="1"/>
      <c r="M127" t="str">
        <f>IF(Fields[[#This Row],[Reference Entity]]&lt;&gt;"","t" &amp;Fields[[#This Row],[Reference Entity]],"")</f>
        <v/>
      </c>
      <c r="P127" s="1"/>
      <c r="T127" s="1"/>
      <c r="U127" s="1"/>
    </row>
    <row r="128" spans="1:22" x14ac:dyDescent="0.3">
      <c r="A128">
        <v>6</v>
      </c>
      <c r="B128" t="s">
        <v>762</v>
      </c>
      <c r="C128" t="s">
        <v>766</v>
      </c>
      <c r="D128" s="1"/>
      <c r="E128" t="s">
        <v>124</v>
      </c>
      <c r="F128" t="s">
        <v>233</v>
      </c>
      <c r="G128" s="2"/>
      <c r="K128" t="s">
        <v>766</v>
      </c>
      <c r="L128" s="1"/>
      <c r="M128" t="str">
        <f>IF(Fields[[#This Row],[Reference Entity]]&lt;&gt;"","t" &amp;Fields[[#This Row],[Reference Entity]],"")</f>
        <v/>
      </c>
      <c r="P128" s="1"/>
      <c r="T128" s="1"/>
      <c r="U128" s="1"/>
    </row>
    <row r="129" spans="1:22" x14ac:dyDescent="0.3">
      <c r="A129">
        <v>1</v>
      </c>
      <c r="B129" t="s">
        <v>773</v>
      </c>
      <c r="C129" t="s">
        <v>774</v>
      </c>
      <c r="D129" s="1"/>
      <c r="E129" t="s">
        <v>488</v>
      </c>
      <c r="F129" t="s">
        <v>487</v>
      </c>
      <c r="G129" s="2"/>
      <c r="L129" s="1" t="s">
        <v>760</v>
      </c>
      <c r="M129" t="str">
        <f>IF(Fields[[#This Row],[Reference Entity]]&lt;&gt;"","t" &amp;Fields[[#This Row],[Reference Entity]],"")</f>
        <v>tJobReport</v>
      </c>
      <c r="N129" t="s">
        <v>760</v>
      </c>
      <c r="O129" t="s">
        <v>142</v>
      </c>
      <c r="P129" s="1"/>
      <c r="T129" s="1"/>
      <c r="U129" s="1"/>
    </row>
    <row r="130" spans="1:22" x14ac:dyDescent="0.3">
      <c r="A130">
        <v>2</v>
      </c>
      <c r="B130" t="s">
        <v>773</v>
      </c>
      <c r="C130" t="s">
        <v>776</v>
      </c>
      <c r="D130" s="1"/>
      <c r="E130" t="s">
        <v>17</v>
      </c>
      <c r="F130" t="s">
        <v>388</v>
      </c>
      <c r="G130" s="2"/>
      <c r="L130" s="1"/>
      <c r="M130" t="str">
        <f>IF(Fields[[#This Row],[Reference Entity]]&lt;&gt;"","t" &amp;Fields[[#This Row],[Reference Entity]],"")</f>
        <v/>
      </c>
      <c r="P130" s="1"/>
      <c r="T130" s="1"/>
      <c r="U130" s="1"/>
    </row>
    <row r="131" spans="1:22" x14ac:dyDescent="0.3">
      <c r="A131">
        <v>3</v>
      </c>
      <c r="B131" t="s">
        <v>773</v>
      </c>
      <c r="C131" t="s">
        <v>766</v>
      </c>
      <c r="D131" s="1"/>
      <c r="E131" t="s">
        <v>124</v>
      </c>
      <c r="F131" t="s">
        <v>233</v>
      </c>
      <c r="G131" s="2"/>
      <c r="K131" t="s">
        <v>766</v>
      </c>
      <c r="L131" s="1"/>
      <c r="M131" t="str">
        <f>IF(Fields[[#This Row],[Reference Entity]]&lt;&gt;"","t" &amp;Fields[[#This Row],[Reference Entity]],"")</f>
        <v/>
      </c>
      <c r="P131" s="1"/>
      <c r="T131" s="1"/>
      <c r="U131" s="1"/>
    </row>
    <row r="132" spans="1:22" x14ac:dyDescent="0.3">
      <c r="A132">
        <v>4</v>
      </c>
      <c r="B132" t="s">
        <v>773</v>
      </c>
      <c r="C132" t="s">
        <v>777</v>
      </c>
      <c r="D132" s="1"/>
      <c r="E132" t="s">
        <v>30</v>
      </c>
      <c r="F132" t="s">
        <v>4</v>
      </c>
      <c r="G132" s="2"/>
      <c r="L132" s="1"/>
      <c r="M132" t="str">
        <f>IF(Fields[[#This Row],[Reference Entity]]&lt;&gt;"","t" &amp;Fields[[#This Row],[Reference Entity]],"")</f>
        <v/>
      </c>
      <c r="P132" s="1"/>
      <c r="T132" s="1"/>
      <c r="U132" s="1"/>
    </row>
    <row r="133" spans="1:22" x14ac:dyDescent="0.3">
      <c r="A133">
        <v>5</v>
      </c>
      <c r="B133" t="s">
        <v>773</v>
      </c>
      <c r="C133" t="s">
        <v>775</v>
      </c>
      <c r="D133" s="1"/>
      <c r="E133" t="s">
        <v>19</v>
      </c>
      <c r="F133" t="s">
        <v>239</v>
      </c>
      <c r="G133" s="2">
        <v>255</v>
      </c>
      <c r="H133" t="s">
        <v>20</v>
      </c>
      <c r="L133" s="1"/>
      <c r="M133" t="str">
        <f>IF(Fields[[#This Row],[Reference Entity]]&lt;&gt;"","t" &amp;Fields[[#This Row],[Reference Entity]],"")</f>
        <v/>
      </c>
      <c r="P133" s="1"/>
      <c r="T133" s="1"/>
      <c r="U133" s="1"/>
    </row>
    <row r="134" spans="1:22" x14ac:dyDescent="0.3">
      <c r="A134">
        <v>6</v>
      </c>
      <c r="B134" t="s">
        <v>773</v>
      </c>
      <c r="C134" t="s">
        <v>778</v>
      </c>
      <c r="D134" s="1"/>
      <c r="E134" t="s">
        <v>19</v>
      </c>
      <c r="F134" t="s">
        <v>239</v>
      </c>
      <c r="G134" s="2">
        <v>255</v>
      </c>
      <c r="H134" t="s">
        <v>20</v>
      </c>
      <c r="L134" s="1"/>
      <c r="M134" t="str">
        <f>IF(Fields[[#This Row],[Reference Entity]]&lt;&gt;"","t" &amp;Fields[[#This Row],[Reference Entity]],"")</f>
        <v/>
      </c>
      <c r="P134" s="1"/>
      <c r="T134" s="1"/>
      <c r="U134" s="1"/>
    </row>
    <row r="135" spans="1:22" x14ac:dyDescent="0.3">
      <c r="A135">
        <v>7</v>
      </c>
      <c r="B135" t="s">
        <v>773</v>
      </c>
      <c r="C135" t="s">
        <v>779</v>
      </c>
      <c r="D135" s="1"/>
      <c r="E135" t="s">
        <v>19</v>
      </c>
      <c r="F135" t="s">
        <v>239</v>
      </c>
      <c r="G135" s="2">
        <v>255</v>
      </c>
      <c r="H135" t="s">
        <v>20</v>
      </c>
      <c r="L135" s="1"/>
      <c r="M135" t="str">
        <f>IF(Fields[[#This Row],[Reference Entity]]&lt;&gt;"","t" &amp;Fields[[#This Row],[Reference Entity]],"")</f>
        <v/>
      </c>
      <c r="P135" s="1"/>
      <c r="T135" s="1"/>
      <c r="U135" s="1"/>
    </row>
    <row r="136" spans="1:22" x14ac:dyDescent="0.3">
      <c r="A136">
        <v>1</v>
      </c>
      <c r="B136" t="s">
        <v>35</v>
      </c>
      <c r="C136" t="s">
        <v>5</v>
      </c>
      <c r="D136" s="1" t="s">
        <v>10</v>
      </c>
      <c r="E136" t="s">
        <v>488</v>
      </c>
      <c r="F136" t="s">
        <v>487</v>
      </c>
      <c r="G136" s="2"/>
      <c r="L136" s="1" t="s">
        <v>147</v>
      </c>
      <c r="M136" t="str">
        <f>IF(Fields[[#This Row],[Reference Entity]]&lt;&gt;"","t" &amp;Fields[[#This Row],[Reference Entity]],"")</f>
        <v>tClient</v>
      </c>
      <c r="N136" t="str">
        <f>IF(Fields[[#This Row],[Reference Entity]]&lt;&gt;"",RIGHT(Fields[[#This Row],[Column Name]],LEN(Fields[[#This Row],[Column Name]])-2),"")</f>
        <v>Client</v>
      </c>
      <c r="O136" t="s">
        <v>142</v>
      </c>
      <c r="P136" s="1"/>
      <c r="Q136" t="str">
        <f>Fields[[#This Row],[Column Name]]</f>
        <v>idClient</v>
      </c>
      <c r="R136"/>
      <c r="S136"/>
    </row>
    <row r="137" spans="1:22" ht="43.2" x14ac:dyDescent="0.3">
      <c r="A137">
        <v>2</v>
      </c>
      <c r="B137" t="s">
        <v>35</v>
      </c>
      <c r="C137" t="s">
        <v>106</v>
      </c>
      <c r="D137" s="1" t="s">
        <v>107</v>
      </c>
      <c r="E137" t="s">
        <v>488</v>
      </c>
      <c r="F137" t="s">
        <v>487</v>
      </c>
      <c r="G137" s="2"/>
      <c r="H137" t="s">
        <v>20</v>
      </c>
      <c r="L137" s="1" t="s">
        <v>342</v>
      </c>
      <c r="M137" t="str">
        <f>IF(Fields[[#This Row],[Reference Entity]]&lt;&gt;"","t" &amp;Fields[[#This Row],[Reference Entity]],"")</f>
        <v>tPlan</v>
      </c>
      <c r="N137" t="str">
        <f>IF(Fields[[#This Row],[Reference Entity]]&lt;&gt;"",RIGHT(Fields[[#This Row],[Column Name]],LEN(Fields[[#This Row],[Column Name]])-2),"")</f>
        <v>PlanBase</v>
      </c>
      <c r="P137" s="1"/>
      <c r="Q137" t="str">
        <f>Fields[[#This Row],[Column Name]]</f>
        <v>idPlanBase</v>
      </c>
      <c r="R137"/>
      <c r="S137"/>
      <c r="T137" t="s">
        <v>20</v>
      </c>
      <c r="U137" t="s">
        <v>359</v>
      </c>
    </row>
    <row r="138" spans="1:22" x14ac:dyDescent="0.3">
      <c r="A138">
        <v>3</v>
      </c>
      <c r="B138" t="s">
        <v>35</v>
      </c>
      <c r="C138" t="s">
        <v>307</v>
      </c>
      <c r="D138" s="1" t="s">
        <v>38</v>
      </c>
      <c r="E138" t="s">
        <v>19</v>
      </c>
      <c r="F138" t="s">
        <v>239</v>
      </c>
      <c r="G138" s="2">
        <v>30</v>
      </c>
      <c r="L138" s="1" t="s">
        <v>382</v>
      </c>
      <c r="M138" t="str">
        <f>IF(Fields[[#This Row],[Reference Entity]]&lt;&gt;"","t" &amp;Fields[[#This Row],[Reference Entity]],"")</f>
        <v/>
      </c>
      <c r="N138" t="str">
        <f>IF(Fields[[#This Row],[Reference Entity]]&lt;&gt;"",RIGHT(Fields[[#This Row],[Column Name]],LEN(Fields[[#This Row],[Column Name]])-2),"")</f>
        <v/>
      </c>
      <c r="P138" s="1"/>
      <c r="R138"/>
      <c r="S138"/>
    </row>
    <row r="139" spans="1:22" ht="28.8" x14ac:dyDescent="0.3">
      <c r="A139">
        <v>4</v>
      </c>
      <c r="B139" t="s">
        <v>35</v>
      </c>
      <c r="C139" t="s">
        <v>280</v>
      </c>
      <c r="D139" s="1" t="s">
        <v>39</v>
      </c>
      <c r="E139" t="s">
        <v>17</v>
      </c>
      <c r="F139" t="s">
        <v>388</v>
      </c>
      <c r="G139" s="2"/>
      <c r="L139" s="1" t="s">
        <v>382</v>
      </c>
      <c r="M139" t="str">
        <f>IF(Fields[[#This Row],[Reference Entity]]&lt;&gt;"","t" &amp;Fields[[#This Row],[Reference Entity]],"")</f>
        <v/>
      </c>
      <c r="N139" t="str">
        <f>IF(Fields[[#This Row],[Reference Entity]]&lt;&gt;"",RIGHT(Fields[[#This Row],[Column Name]],LEN(Fields[[#This Row],[Column Name]])-2),"")</f>
        <v/>
      </c>
      <c r="P139" s="1"/>
      <c r="R139"/>
      <c r="S139"/>
    </row>
    <row r="140" spans="1:22" x14ac:dyDescent="0.3">
      <c r="A140">
        <v>5</v>
      </c>
      <c r="B140" t="s">
        <v>35</v>
      </c>
      <c r="C140" t="s">
        <v>281</v>
      </c>
      <c r="D140" s="1" t="s">
        <v>282</v>
      </c>
      <c r="E140" t="s">
        <v>17</v>
      </c>
      <c r="F140" t="s">
        <v>388</v>
      </c>
      <c r="G140" s="2"/>
      <c r="L140" s="1" t="s">
        <v>382</v>
      </c>
      <c r="M140" t="str">
        <f>IF(Fields[[#This Row],[Reference Entity]]&lt;&gt;"","t" &amp;Fields[[#This Row],[Reference Entity]],"")</f>
        <v/>
      </c>
      <c r="N140" t="str">
        <f>IF(Fields[[#This Row],[Reference Entity]]&lt;&gt;"",RIGHT(Fields[[#This Row],[Column Name]],LEN(Fields[[#This Row],[Column Name]])-2),"")</f>
        <v/>
      </c>
      <c r="P140" s="1"/>
      <c r="R140"/>
      <c r="S140"/>
    </row>
    <row r="141" spans="1:22" x14ac:dyDescent="0.3">
      <c r="A141">
        <v>6</v>
      </c>
      <c r="B141" t="s">
        <v>35</v>
      </c>
      <c r="C141" t="s">
        <v>855</v>
      </c>
      <c r="D141" s="1" t="s">
        <v>856</v>
      </c>
      <c r="E141" t="s">
        <v>17</v>
      </c>
      <c r="F141" t="s">
        <v>388</v>
      </c>
      <c r="G141" s="2"/>
      <c r="H141" t="s">
        <v>20</v>
      </c>
      <c r="L141" s="1"/>
      <c r="M141" t="str">
        <f>IF(Fields[[#This Row],[Reference Entity]]&lt;&gt;"","t" &amp;Fields[[#This Row],[Reference Entity]],"")</f>
        <v/>
      </c>
      <c r="P141" s="1"/>
      <c r="R141"/>
      <c r="S141"/>
    </row>
    <row r="142" spans="1:22" ht="28.8" x14ac:dyDescent="0.3">
      <c r="A142">
        <v>6</v>
      </c>
      <c r="B142" t="s">
        <v>35</v>
      </c>
      <c r="C142" t="s">
        <v>293</v>
      </c>
      <c r="D142" s="1" t="s">
        <v>47</v>
      </c>
      <c r="E142" t="s">
        <v>18</v>
      </c>
      <c r="F142" t="s">
        <v>6</v>
      </c>
      <c r="G142" s="2"/>
      <c r="I142">
        <v>0</v>
      </c>
      <c r="L142" s="1" t="s">
        <v>382</v>
      </c>
      <c r="M142" t="str">
        <f>IF(Fields[[#This Row],[Reference Entity]]&lt;&gt;"","t" &amp;Fields[[#This Row],[Reference Entity]],"")</f>
        <v/>
      </c>
      <c r="N142" t="str">
        <f>IF(Fields[[#This Row],[Reference Entity]]&lt;&gt;"",RIGHT(Fields[[#This Row],[Column Name]],LEN(Fields[[#This Row],[Column Name]])-2),"")</f>
        <v/>
      </c>
      <c r="P142" s="1" t="s">
        <v>49</v>
      </c>
      <c r="R142"/>
      <c r="S142"/>
    </row>
    <row r="143" spans="1:22" ht="43.2" x14ac:dyDescent="0.3">
      <c r="A143">
        <v>7</v>
      </c>
      <c r="B143" t="s">
        <v>35</v>
      </c>
      <c r="C143" t="s">
        <v>133</v>
      </c>
      <c r="D143" s="1" t="s">
        <v>134</v>
      </c>
      <c r="E143" t="s">
        <v>124</v>
      </c>
      <c r="F143" t="s">
        <v>233</v>
      </c>
      <c r="G143" s="2"/>
      <c r="I143">
        <v>3</v>
      </c>
      <c r="K143" t="s">
        <v>785</v>
      </c>
      <c r="L143" s="1" t="s">
        <v>382</v>
      </c>
      <c r="M143" t="str">
        <f>IF(Fields[[#This Row],[Reference Entity]]&lt;&gt;"","t" &amp;Fields[[#This Row],[Reference Entity]],"")</f>
        <v/>
      </c>
      <c r="N143" t="str">
        <f>IF(Fields[[#This Row],[Reference Entity]]&lt;&gt;"",RIGHT(Fields[[#This Row],[Column Name]],LEN(Fields[[#This Row],[Column Name]])-2),"")</f>
        <v/>
      </c>
      <c r="P143" s="1"/>
      <c r="R143"/>
      <c r="S143"/>
    </row>
    <row r="144" spans="1:22" x14ac:dyDescent="0.3">
      <c r="A144">
        <v>1</v>
      </c>
      <c r="B144" t="s">
        <v>181</v>
      </c>
      <c r="C144" t="s">
        <v>5</v>
      </c>
      <c r="D144" s="1" t="s">
        <v>174</v>
      </c>
      <c r="E144" t="s">
        <v>488</v>
      </c>
      <c r="F144" t="s">
        <v>487</v>
      </c>
      <c r="G144" s="2"/>
      <c r="L144" s="1" t="s">
        <v>147</v>
      </c>
      <c r="M144" t="str">
        <f>IF(Fields[[#This Row],[Reference Entity]]&lt;&gt;"","t" &amp;Fields[[#This Row],[Reference Entity]],"")</f>
        <v>tClient</v>
      </c>
      <c r="N144" t="str">
        <f>IF(Fields[[#This Row],[Reference Entity]]&lt;&gt;"",RIGHT(Fields[[#This Row],[Column Name]],LEN(Fields[[#This Row],[Column Name]])-2),"")</f>
        <v>Client</v>
      </c>
      <c r="O144" t="s">
        <v>142</v>
      </c>
      <c r="P144" s="1"/>
      <c r="Q144" t="str">
        <f>Fields[[#This Row],[Column Name]]</f>
        <v>idClient</v>
      </c>
      <c r="R144"/>
      <c r="S144"/>
      <c r="V144" s="1"/>
    </row>
    <row r="145" spans="1:22" ht="28.8" x14ac:dyDescent="0.3">
      <c r="A145">
        <v>2</v>
      </c>
      <c r="B145" t="s">
        <v>181</v>
      </c>
      <c r="C145" t="s">
        <v>481</v>
      </c>
      <c r="D145" s="1" t="s">
        <v>480</v>
      </c>
      <c r="E145" t="s">
        <v>16</v>
      </c>
      <c r="F145" t="s">
        <v>4</v>
      </c>
      <c r="G145" s="2"/>
      <c r="J145" s="1"/>
      <c r="K145" s="1" t="s">
        <v>481</v>
      </c>
      <c r="L145" s="1"/>
      <c r="P145" s="1"/>
      <c r="Q145" t="str">
        <f>Fields[[#This Row],[Column Name]]</f>
        <v>TypeAccountFunction</v>
      </c>
      <c r="S145"/>
      <c r="V145" t="s">
        <v>449</v>
      </c>
    </row>
    <row r="146" spans="1:22" x14ac:dyDescent="0.3">
      <c r="A146">
        <v>3</v>
      </c>
      <c r="B146" t="s">
        <v>181</v>
      </c>
      <c r="C146" t="s">
        <v>295</v>
      </c>
      <c r="D146" s="1" t="s">
        <v>182</v>
      </c>
      <c r="E146" t="s">
        <v>488</v>
      </c>
      <c r="F146" t="s">
        <v>487</v>
      </c>
      <c r="G146" s="2"/>
      <c r="J146" s="1"/>
      <c r="L146" s="1" t="s">
        <v>335</v>
      </c>
      <c r="M146" t="str">
        <f>IF(Fields[[#This Row],[Reference Entity]]&lt;&gt;"","t" &amp;Fields[[#This Row],[Reference Entity]],"")</f>
        <v>tAccount</v>
      </c>
      <c r="N146" t="str">
        <f>IF(Fields[[#This Row],[Reference Entity]]&lt;&gt;"",RIGHT(Fields[[#This Row],[Column Name]],LEN(Fields[[#This Row],[Column Name]])-2),"")</f>
        <v>AccountPlanAccountFunction</v>
      </c>
      <c r="P146" s="1"/>
      <c r="Q146" t="str">
        <f>Fields[[#This Row],[Column Name]]</f>
        <v>idAccountPlanAccountFunction</v>
      </c>
      <c r="S146"/>
    </row>
    <row r="147" spans="1:22" ht="43.2" x14ac:dyDescent="0.3">
      <c r="A147">
        <v>1</v>
      </c>
      <c r="B147" t="s">
        <v>63</v>
      </c>
      <c r="C147" t="s">
        <v>53</v>
      </c>
      <c r="D147" s="1" t="s">
        <v>71</v>
      </c>
      <c r="E147" t="s">
        <v>488</v>
      </c>
      <c r="F147" t="s">
        <v>487</v>
      </c>
      <c r="G147" s="2"/>
      <c r="L147" s="1" t="s">
        <v>342</v>
      </c>
      <c r="M147" t="str">
        <f>IF(Fields[[#This Row],[Reference Entity]]&lt;&gt;"","t" &amp;Fields[[#This Row],[Reference Entity]],"")</f>
        <v>tPlan</v>
      </c>
      <c r="N147" t="str">
        <f>IF(Fields[[#This Row],[Reference Entity]]&lt;&gt;"",RIGHT(Fields[[#This Row],[Column Name]],LEN(Fields[[#This Row],[Column Name]])-2),"")</f>
        <v>Plan</v>
      </c>
      <c r="O147" t="s">
        <v>142</v>
      </c>
      <c r="P147" s="1"/>
      <c r="Q147" t="str">
        <f>Fields[[#This Row],[Column Name]]</f>
        <v>idPlan</v>
      </c>
      <c r="R147"/>
      <c r="S147"/>
    </row>
    <row r="148" spans="1:22" x14ac:dyDescent="0.3">
      <c r="A148">
        <v>2</v>
      </c>
      <c r="B148" t="s">
        <v>63</v>
      </c>
      <c r="C148" t="s">
        <v>308</v>
      </c>
      <c r="D148" s="1" t="s">
        <v>99</v>
      </c>
      <c r="E148" t="s">
        <v>19</v>
      </c>
      <c r="F148" t="s">
        <v>239</v>
      </c>
      <c r="G148" s="2">
        <v>255</v>
      </c>
      <c r="L148" s="1" t="s">
        <v>382</v>
      </c>
      <c r="M148" t="str">
        <f>IF(Fields[[#This Row],[Reference Entity]]&lt;&gt;"","t" &amp;Fields[[#This Row],[Reference Entity]],"")</f>
        <v/>
      </c>
      <c r="N148" t="str">
        <f>IF(Fields[[#This Row],[Reference Entity]]&lt;&gt;"",RIGHT(Fields[[#This Row],[Column Name]],LEN(Fields[[#This Row],[Column Name]])-2),"")</f>
        <v/>
      </c>
      <c r="P148" s="1"/>
      <c r="R148"/>
      <c r="S148"/>
    </row>
    <row r="149" spans="1:22" ht="28.8" x14ac:dyDescent="0.3">
      <c r="A149">
        <v>3</v>
      </c>
      <c r="B149" t="s">
        <v>63</v>
      </c>
      <c r="C149" t="s">
        <v>95</v>
      </c>
      <c r="D149" s="1" t="s">
        <v>596</v>
      </c>
      <c r="E149" t="s">
        <v>30</v>
      </c>
      <c r="F149" t="s">
        <v>4</v>
      </c>
      <c r="G149" s="2"/>
      <c r="I149">
        <v>1</v>
      </c>
      <c r="K149" s="1" t="s">
        <v>597</v>
      </c>
      <c r="L149" s="1" t="s">
        <v>382</v>
      </c>
      <c r="M149" t="str">
        <f>IF(Fields[[#This Row],[Reference Entity]]&lt;&gt;"","t" &amp;Fields[[#This Row],[Reference Entity]],"")</f>
        <v/>
      </c>
      <c r="N149" t="str">
        <f>IF(Fields[[#This Row],[Reference Entity]]&lt;&gt;"",RIGHT(Fields[[#This Row],[Column Name]],LEN(Fields[[#This Row],[Column Name]])-2),"")</f>
        <v/>
      </c>
      <c r="P149" s="1"/>
      <c r="R149"/>
      <c r="S149"/>
    </row>
    <row r="150" spans="1:22" x14ac:dyDescent="0.3">
      <c r="A150">
        <v>4</v>
      </c>
      <c r="B150" t="s">
        <v>63</v>
      </c>
      <c r="C150" t="s">
        <v>102</v>
      </c>
      <c r="D150" s="1" t="s">
        <v>104</v>
      </c>
      <c r="E150" t="s">
        <v>60</v>
      </c>
      <c r="F150" t="s">
        <v>234</v>
      </c>
      <c r="G150" s="2"/>
      <c r="L150" s="1" t="s">
        <v>382</v>
      </c>
      <c r="M150" t="str">
        <f>IF(Fields[[#This Row],[Reference Entity]]&lt;&gt;"","t" &amp;Fields[[#This Row],[Reference Entity]],"")</f>
        <v/>
      </c>
      <c r="N150" t="str">
        <f>IF(Fields[[#This Row],[Reference Entity]]&lt;&gt;"",RIGHT(Fields[[#This Row],[Column Name]],LEN(Fields[[#This Row],[Column Name]])-2),"")</f>
        <v/>
      </c>
      <c r="P150" s="1"/>
      <c r="R150"/>
      <c r="S150"/>
    </row>
    <row r="151" spans="1:22" x14ac:dyDescent="0.3">
      <c r="A151">
        <v>5</v>
      </c>
      <c r="B151" t="s">
        <v>63</v>
      </c>
      <c r="C151" t="s">
        <v>424</v>
      </c>
      <c r="D151" s="1" t="s">
        <v>425</v>
      </c>
      <c r="E151" t="s">
        <v>18</v>
      </c>
      <c r="F151" t="s">
        <v>6</v>
      </c>
      <c r="G151" s="2"/>
      <c r="L151" s="1"/>
      <c r="M151" t="str">
        <f>IF(Fields[[#This Row],[Reference Entity]]&lt;&gt;"","t" &amp;Fields[[#This Row],[Reference Entity]],"")</f>
        <v/>
      </c>
      <c r="P151" s="1"/>
      <c r="R151"/>
      <c r="S151"/>
    </row>
    <row r="152" spans="1:22" x14ac:dyDescent="0.3">
      <c r="A152">
        <v>6</v>
      </c>
      <c r="B152" t="s">
        <v>63</v>
      </c>
      <c r="C152" t="s">
        <v>808</v>
      </c>
      <c r="D152" s="1" t="s">
        <v>807</v>
      </c>
      <c r="E152" t="s">
        <v>18</v>
      </c>
      <c r="F152" t="s">
        <v>6</v>
      </c>
      <c r="G152" s="2"/>
      <c r="I152">
        <v>0</v>
      </c>
      <c r="L152" s="1"/>
      <c r="M152" t="str">
        <f>IF(Fields[[#This Row],[Reference Entity]]&lt;&gt;"","t" &amp;Fields[[#This Row],[Reference Entity]],"")</f>
        <v/>
      </c>
      <c r="P152" s="1"/>
      <c r="T152" s="1"/>
      <c r="U152" s="1"/>
    </row>
    <row r="153" spans="1:22" ht="43.2" x14ac:dyDescent="0.3">
      <c r="A153">
        <v>7</v>
      </c>
      <c r="B153" t="s">
        <v>63</v>
      </c>
      <c r="C153" t="s">
        <v>559</v>
      </c>
      <c r="D153" s="1" t="s">
        <v>558</v>
      </c>
      <c r="E153" t="s">
        <v>30</v>
      </c>
      <c r="F153" t="s">
        <v>4</v>
      </c>
      <c r="G153" s="2"/>
      <c r="I153">
        <v>0</v>
      </c>
      <c r="L153" s="1"/>
      <c r="M153" t="str">
        <f>IF(Fields[[#This Row],[Reference Entity]]&lt;&gt;"","t" &amp;Fields[[#This Row],[Reference Entity]],"")</f>
        <v/>
      </c>
      <c r="P153" s="1"/>
      <c r="R153"/>
      <c r="S153"/>
      <c r="V153" t="s">
        <v>469</v>
      </c>
    </row>
    <row r="154" spans="1:22" x14ac:dyDescent="0.3">
      <c r="A154">
        <v>8</v>
      </c>
      <c r="B154" t="s">
        <v>63</v>
      </c>
      <c r="C154" t="s">
        <v>588</v>
      </c>
      <c r="D154" s="1" t="s">
        <v>589</v>
      </c>
      <c r="E154" t="s">
        <v>18</v>
      </c>
      <c r="F154" t="s">
        <v>6</v>
      </c>
      <c r="G154" s="2"/>
      <c r="I154">
        <v>0</v>
      </c>
      <c r="L154" s="1"/>
      <c r="M154" t="str">
        <f>IF(Fields[[#This Row],[Reference Entity]]&lt;&gt;"","t" &amp;Fields[[#This Row],[Reference Entity]],"")</f>
        <v/>
      </c>
      <c r="P154" s="1"/>
      <c r="R154"/>
      <c r="S154"/>
    </row>
    <row r="155" spans="1:22" x14ac:dyDescent="0.3">
      <c r="A155">
        <v>9</v>
      </c>
      <c r="B155" t="s">
        <v>63</v>
      </c>
      <c r="C155" t="s">
        <v>590</v>
      </c>
      <c r="D155" s="1" t="s">
        <v>598</v>
      </c>
      <c r="E155" t="s">
        <v>124</v>
      </c>
      <c r="F155" t="s">
        <v>233</v>
      </c>
      <c r="G155" s="2"/>
      <c r="H155" t="s">
        <v>20</v>
      </c>
      <c r="L155" s="1"/>
      <c r="M155" t="str">
        <f>IF(Fields[[#This Row],[Reference Entity]]&lt;&gt;"","t" &amp;Fields[[#This Row],[Reference Entity]],"")</f>
        <v/>
      </c>
      <c r="P155" s="1"/>
      <c r="R155"/>
      <c r="S155"/>
    </row>
    <row r="156" spans="1:22" x14ac:dyDescent="0.3">
      <c r="A156">
        <v>10</v>
      </c>
      <c r="B156" t="s">
        <v>63</v>
      </c>
      <c r="C156" t="s">
        <v>591</v>
      </c>
      <c r="D156" s="1" t="s">
        <v>599</v>
      </c>
      <c r="E156" t="s">
        <v>60</v>
      </c>
      <c r="F156" t="s">
        <v>234</v>
      </c>
      <c r="G156" s="2"/>
      <c r="H156" t="s">
        <v>20</v>
      </c>
      <c r="L156" s="1"/>
      <c r="M156" t="str">
        <f>IF(Fields[[#This Row],[Reference Entity]]&lt;&gt;"","t" &amp;Fields[[#This Row],[Reference Entity]],"")</f>
        <v/>
      </c>
      <c r="P156" s="1"/>
      <c r="R156"/>
      <c r="S156"/>
    </row>
    <row r="157" spans="1:22" x14ac:dyDescent="0.3">
      <c r="A157">
        <v>11</v>
      </c>
      <c r="B157" t="s">
        <v>63</v>
      </c>
      <c r="C157" t="s">
        <v>592</v>
      </c>
      <c r="D157" s="1" t="s">
        <v>600</v>
      </c>
      <c r="E157" t="s">
        <v>124</v>
      </c>
      <c r="F157" t="s">
        <v>233</v>
      </c>
      <c r="G157" s="2"/>
      <c r="H157" t="s">
        <v>20</v>
      </c>
      <c r="L157" s="1"/>
      <c r="M157" t="str">
        <f>IF(Fields[[#This Row],[Reference Entity]]&lt;&gt;"","t" &amp;Fields[[#This Row],[Reference Entity]],"")</f>
        <v/>
      </c>
      <c r="P157" s="1"/>
      <c r="R157"/>
      <c r="S157"/>
    </row>
    <row r="158" spans="1:22" x14ac:dyDescent="0.3">
      <c r="A158">
        <v>13</v>
      </c>
      <c r="B158" t="s">
        <v>63</v>
      </c>
      <c r="C158" t="s">
        <v>593</v>
      </c>
      <c r="D158" s="1" t="s">
        <v>601</v>
      </c>
      <c r="E158" t="s">
        <v>60</v>
      </c>
      <c r="F158" t="s">
        <v>234</v>
      </c>
      <c r="G158" s="2"/>
      <c r="H158" t="s">
        <v>20</v>
      </c>
      <c r="L158" s="1"/>
      <c r="M158" t="str">
        <f>IF(Fields[[#This Row],[Reference Entity]]&lt;&gt;"","t" &amp;Fields[[#This Row],[Reference Entity]],"")</f>
        <v/>
      </c>
      <c r="P158" s="1"/>
      <c r="R158"/>
      <c r="S158"/>
    </row>
    <row r="159" spans="1:22" x14ac:dyDescent="0.3">
      <c r="A159">
        <v>14</v>
      </c>
      <c r="B159" t="s">
        <v>63</v>
      </c>
      <c r="C159" t="s">
        <v>594</v>
      </c>
      <c r="D159" s="1" t="s">
        <v>602</v>
      </c>
      <c r="E159" t="s">
        <v>124</v>
      </c>
      <c r="F159" t="s">
        <v>233</v>
      </c>
      <c r="G159" s="2"/>
      <c r="H159" t="s">
        <v>20</v>
      </c>
      <c r="L159" s="1"/>
      <c r="M159" t="str">
        <f>IF(Fields[[#This Row],[Reference Entity]]&lt;&gt;"","t" &amp;Fields[[#This Row],[Reference Entity]],"")</f>
        <v/>
      </c>
      <c r="P159" s="1"/>
      <c r="R159"/>
      <c r="S159"/>
    </row>
    <row r="160" spans="1:22" x14ac:dyDescent="0.3">
      <c r="A160">
        <v>15</v>
      </c>
      <c r="B160" t="s">
        <v>63</v>
      </c>
      <c r="C160" t="s">
        <v>595</v>
      </c>
      <c r="D160" s="1" t="s">
        <v>603</v>
      </c>
      <c r="E160" t="s">
        <v>60</v>
      </c>
      <c r="F160" t="s">
        <v>234</v>
      </c>
      <c r="G160" s="2"/>
      <c r="H160" t="s">
        <v>20</v>
      </c>
      <c r="L160" s="1"/>
      <c r="M160" t="str">
        <f>IF(Fields[[#This Row],[Reference Entity]]&lt;&gt;"","t" &amp;Fields[[#This Row],[Reference Entity]],"")</f>
        <v/>
      </c>
      <c r="P160" s="1"/>
      <c r="R160"/>
      <c r="S160"/>
    </row>
    <row r="161" spans="1:22" x14ac:dyDescent="0.3">
      <c r="A161">
        <v>1</v>
      </c>
      <c r="B161" t="s">
        <v>96</v>
      </c>
      <c r="C161" t="s">
        <v>97</v>
      </c>
      <c r="D161" s="1" t="s">
        <v>100</v>
      </c>
      <c r="E161" t="s">
        <v>488</v>
      </c>
      <c r="F161" t="s">
        <v>487</v>
      </c>
      <c r="G161" s="2"/>
      <c r="L161" s="1" t="s">
        <v>345</v>
      </c>
      <c r="M161" t="str">
        <f>IF(Fields[[#This Row],[Reference Entity]]&lt;&gt;"","t" &amp;Fields[[#This Row],[Reference Entity]],"")</f>
        <v>tPlanAllocationSchedule</v>
      </c>
      <c r="N161" t="str">
        <f>IF(Fields[[#This Row],[Reference Entity]]&lt;&gt;"",RIGHT(Fields[[#This Row],[Column Name]],LEN(Fields[[#This Row],[Column Name]])-2),"")</f>
        <v>PlanAllocationSchedule</v>
      </c>
      <c r="P161" s="1"/>
      <c r="Q161" t="str">
        <f>Fields[[#This Row],[Column Name]]</f>
        <v>idPlanAllocationSchedule</v>
      </c>
      <c r="R161" t="s">
        <v>20</v>
      </c>
      <c r="S161"/>
    </row>
    <row r="162" spans="1:22" x14ac:dyDescent="0.3">
      <c r="A162">
        <v>2</v>
      </c>
      <c r="B162" t="s">
        <v>96</v>
      </c>
      <c r="C162" t="s">
        <v>29</v>
      </c>
      <c r="D162" s="1" t="s">
        <v>101</v>
      </c>
      <c r="E162" t="s">
        <v>30</v>
      </c>
      <c r="F162" t="s">
        <v>4</v>
      </c>
      <c r="G162" s="2"/>
      <c r="L162" s="1" t="s">
        <v>382</v>
      </c>
      <c r="M162" t="str">
        <f>IF(Fields[[#This Row],[Reference Entity]]&lt;&gt;"","t" &amp;Fields[[#This Row],[Reference Entity]],"")</f>
        <v/>
      </c>
      <c r="N162" t="str">
        <f>IF(Fields[[#This Row],[Reference Entity]]&lt;&gt;"",RIGHT(Fields[[#This Row],[Column Name]],LEN(Fields[[#This Row],[Column Name]])-2),"")</f>
        <v/>
      </c>
      <c r="P162" s="1"/>
      <c r="Q162" t="s">
        <v>97</v>
      </c>
      <c r="R162" t="s">
        <v>20</v>
      </c>
      <c r="S162"/>
    </row>
    <row r="163" spans="1:22" x14ac:dyDescent="0.3">
      <c r="A163">
        <v>3</v>
      </c>
      <c r="B163" t="s">
        <v>96</v>
      </c>
      <c r="C163" t="s">
        <v>98</v>
      </c>
      <c r="D163" s="1" t="s">
        <v>103</v>
      </c>
      <c r="E163" t="s">
        <v>60</v>
      </c>
      <c r="F163" t="s">
        <v>234</v>
      </c>
      <c r="G163" s="2"/>
      <c r="L163" s="1" t="s">
        <v>382</v>
      </c>
      <c r="M163" t="str">
        <f>IF(Fields[[#This Row],[Reference Entity]]&lt;&gt;"","t" &amp;Fields[[#This Row],[Reference Entity]],"")</f>
        <v/>
      </c>
      <c r="N163" t="str">
        <f>IF(Fields[[#This Row],[Reference Entity]]&lt;&gt;"",RIGHT(Fields[[#This Row],[Column Name]],LEN(Fields[[#This Row],[Column Name]])-2),"")</f>
        <v/>
      </c>
      <c r="P163" s="1"/>
      <c r="R163"/>
      <c r="S163"/>
    </row>
    <row r="164" spans="1:22" x14ac:dyDescent="0.3">
      <c r="A164">
        <v>1</v>
      </c>
      <c r="B164" t="s">
        <v>7</v>
      </c>
      <c r="C164" t="s">
        <v>5</v>
      </c>
      <c r="D164" s="1" t="s">
        <v>10</v>
      </c>
      <c r="E164" t="s">
        <v>488</v>
      </c>
      <c r="F164" t="s">
        <v>487</v>
      </c>
      <c r="G164" s="2"/>
      <c r="L164" s="1" t="s">
        <v>147</v>
      </c>
      <c r="M164" t="str">
        <f>IF(Fields[[#This Row],[Reference Entity]]&lt;&gt;"","t" &amp;Fields[[#This Row],[Reference Entity]],"")</f>
        <v>tClient</v>
      </c>
      <c r="N164" t="str">
        <f>IF(Fields[[#This Row],[Reference Entity]]&lt;&gt;"",RIGHT(Fields[[#This Row],[Column Name]],LEN(Fields[[#This Row],[Column Name]])-2),"")</f>
        <v>Client</v>
      </c>
      <c r="O164" t="s">
        <v>142</v>
      </c>
      <c r="P164" s="1"/>
      <c r="Q164" t="str">
        <f>Fields[[#This Row],[Column Name]]</f>
        <v>idClient</v>
      </c>
      <c r="R164"/>
      <c r="S164"/>
    </row>
    <row r="165" spans="1:22" x14ac:dyDescent="0.3">
      <c r="A165">
        <v>2</v>
      </c>
      <c r="B165" t="s">
        <v>7</v>
      </c>
      <c r="C165" t="s">
        <v>297</v>
      </c>
      <c r="D165" s="1" t="s">
        <v>11</v>
      </c>
      <c r="E165" t="s">
        <v>488</v>
      </c>
      <c r="F165" t="s">
        <v>487</v>
      </c>
      <c r="G165" s="2"/>
      <c r="H165" t="s">
        <v>20</v>
      </c>
      <c r="L165" s="1" t="s">
        <v>337</v>
      </c>
      <c r="M165" t="str">
        <f>IF(Fields[[#This Row],[Reference Entity]]&lt;&gt;"","t" &amp;Fields[[#This Row],[Reference Entity]],"")</f>
        <v>tCostCenter</v>
      </c>
      <c r="N165" t="str">
        <f>IF(Fields[[#This Row],[Reference Entity]]&lt;&gt;"",RIGHT(Fields[[#This Row],[Column Name]],LEN(Fields[[#This Row],[Column Name]])-2),"")</f>
        <v>CostCenterPlanElement</v>
      </c>
      <c r="P165" s="1"/>
      <c r="Q165" t="str">
        <f>Fields[[#This Row],[Column Name]]</f>
        <v>idCostCenterPlanElement</v>
      </c>
      <c r="R165"/>
      <c r="S165"/>
    </row>
    <row r="166" spans="1:22" ht="28.8" x14ac:dyDescent="0.3">
      <c r="A166">
        <v>3</v>
      </c>
      <c r="B166" t="s">
        <v>7</v>
      </c>
      <c r="C166" t="s">
        <v>519</v>
      </c>
      <c r="D166" s="1" t="s">
        <v>518</v>
      </c>
      <c r="E166" t="s">
        <v>488</v>
      </c>
      <c r="F166" t="s">
        <v>487</v>
      </c>
      <c r="G166" s="2"/>
      <c r="H166" t="s">
        <v>20</v>
      </c>
      <c r="L166" s="1" t="s">
        <v>333</v>
      </c>
      <c r="M166" t="str">
        <f>IF(Fields[[#This Row],[Reference Entity]]&lt;&gt;"","t" &amp;Fields[[#This Row],[Reference Entity]],"")</f>
        <v>tCurrency</v>
      </c>
      <c r="N166" t="str">
        <f>IF(Fields[[#This Row],[Reference Entity]]&lt;&gt;"",RIGHT(Fields[[#This Row],[Column Name]],LEN(Fields[[#This Row],[Column Name]])-2),"")</f>
        <v>Currency</v>
      </c>
      <c r="P166" s="1"/>
      <c r="Q166" t="str">
        <f>Fields[[#This Row],[Column Name]]</f>
        <v>idCurrency</v>
      </c>
      <c r="T166" s="1"/>
      <c r="U166" s="1"/>
      <c r="V166" t="s">
        <v>469</v>
      </c>
    </row>
    <row r="167" spans="1:22" x14ac:dyDescent="0.3">
      <c r="A167">
        <v>4</v>
      </c>
      <c r="B167" t="s">
        <v>7</v>
      </c>
      <c r="C167" t="s">
        <v>320</v>
      </c>
      <c r="D167" s="1" t="s">
        <v>12</v>
      </c>
      <c r="E167" t="s">
        <v>124</v>
      </c>
      <c r="F167" t="s">
        <v>233</v>
      </c>
      <c r="G167" s="2"/>
      <c r="I167">
        <v>0</v>
      </c>
      <c r="K167" s="1" t="s">
        <v>320</v>
      </c>
      <c r="L167" s="1" t="s">
        <v>382</v>
      </c>
      <c r="M167" t="str">
        <f>IF(Fields[[#This Row],[Reference Entity]]&lt;&gt;"","t" &amp;Fields[[#This Row],[Reference Entity]],"")</f>
        <v/>
      </c>
      <c r="N167" t="str">
        <f>IF(Fields[[#This Row],[Reference Entity]]&lt;&gt;"",RIGHT(Fields[[#This Row],[Column Name]],LEN(Fields[[#This Row],[Column Name]])-2),"")</f>
        <v/>
      </c>
      <c r="P167" s="1"/>
      <c r="R167"/>
      <c r="S167"/>
    </row>
    <row r="168" spans="1:22" ht="28.8" x14ac:dyDescent="0.3">
      <c r="A168">
        <v>5</v>
      </c>
      <c r="B168" t="s">
        <v>7</v>
      </c>
      <c r="C168" t="s">
        <v>41</v>
      </c>
      <c r="D168" s="1" t="s">
        <v>42</v>
      </c>
      <c r="E168" t="s">
        <v>488</v>
      </c>
      <c r="F168" t="s">
        <v>487</v>
      </c>
      <c r="G168" s="2"/>
      <c r="H168" t="s">
        <v>20</v>
      </c>
      <c r="L168" s="1" t="s">
        <v>344</v>
      </c>
      <c r="M168" t="str">
        <f>IF(Fields[[#This Row],[Reference Entity]]&lt;&gt;"","t" &amp;Fields[[#This Row],[Reference Entity]],"")</f>
        <v>tPlanGroup</v>
      </c>
      <c r="N168" t="str">
        <f>IF(Fields[[#This Row],[Reference Entity]]&lt;&gt;"",RIGHT(Fields[[#This Row],[Column Name]],LEN(Fields[[#This Row],[Column Name]])-2),"")</f>
        <v>PlanGroup</v>
      </c>
      <c r="P168" s="1"/>
      <c r="Q168" t="str">
        <f>Fields[[#This Row],[Column Name]]</f>
        <v>idPlanGroup</v>
      </c>
      <c r="R168"/>
      <c r="S168"/>
    </row>
    <row r="169" spans="1:22" x14ac:dyDescent="0.3">
      <c r="A169">
        <v>6</v>
      </c>
      <c r="B169" t="s">
        <v>7</v>
      </c>
      <c r="C169" t="s">
        <v>309</v>
      </c>
      <c r="D169" s="1" t="s">
        <v>44</v>
      </c>
      <c r="E169" t="s">
        <v>19</v>
      </c>
      <c r="F169" t="s">
        <v>239</v>
      </c>
      <c r="G169" s="2">
        <v>50</v>
      </c>
      <c r="L169" s="1" t="s">
        <v>382</v>
      </c>
      <c r="M169" t="str">
        <f>IF(Fields[[#This Row],[Reference Entity]]&lt;&gt;"","t" &amp;Fields[[#This Row],[Reference Entity]],"")</f>
        <v/>
      </c>
      <c r="N169" t="str">
        <f>IF(Fields[[#This Row],[Reference Entity]]&lt;&gt;"",RIGHT(Fields[[#This Row],[Column Name]],LEN(Fields[[#This Row],[Column Name]])-2),"")</f>
        <v/>
      </c>
      <c r="P169" s="1"/>
      <c r="R169"/>
      <c r="S169"/>
    </row>
    <row r="170" spans="1:22" ht="57.6" x14ac:dyDescent="0.3">
      <c r="A170">
        <v>7</v>
      </c>
      <c r="B170" t="s">
        <v>7</v>
      </c>
      <c r="C170" t="s">
        <v>301</v>
      </c>
      <c r="D170" s="1" t="s">
        <v>37</v>
      </c>
      <c r="E170" t="s">
        <v>19</v>
      </c>
      <c r="F170" t="s">
        <v>239</v>
      </c>
      <c r="G170" s="2">
        <v>15</v>
      </c>
      <c r="H170" t="s">
        <v>20</v>
      </c>
      <c r="I170" s="4" t="s">
        <v>382</v>
      </c>
      <c r="L170" s="1" t="s">
        <v>382</v>
      </c>
      <c r="M170" t="str">
        <f>IF(Fields[[#This Row],[Reference Entity]]&lt;&gt;"","t" &amp;Fields[[#This Row],[Reference Entity]],"")</f>
        <v/>
      </c>
      <c r="N170" t="str">
        <f>IF(Fields[[#This Row],[Reference Entity]]&lt;&gt;"",RIGHT(Fields[[#This Row],[Column Name]],LEN(Fields[[#This Row],[Column Name]])-2),"")</f>
        <v/>
      </c>
      <c r="P170" s="1"/>
      <c r="Q170" t="str">
        <f>Fields[[#This Row],[Column Name]]</f>
        <v>ReferenceIDPlanElement</v>
      </c>
      <c r="R170"/>
      <c r="S170"/>
    </row>
    <row r="171" spans="1:22" ht="28.8" x14ac:dyDescent="0.3">
      <c r="A171">
        <v>8</v>
      </c>
      <c r="B171" t="s">
        <v>7</v>
      </c>
      <c r="C171" t="s">
        <v>294</v>
      </c>
      <c r="D171" s="1" t="s">
        <v>14</v>
      </c>
      <c r="E171" t="s">
        <v>18</v>
      </c>
      <c r="F171" t="s">
        <v>6</v>
      </c>
      <c r="G171" s="2"/>
      <c r="I171">
        <v>0</v>
      </c>
      <c r="L171" s="1" t="s">
        <v>382</v>
      </c>
      <c r="M171" t="str">
        <f>IF(Fields[[#This Row],[Reference Entity]]&lt;&gt;"","t" &amp;Fields[[#This Row],[Reference Entity]],"")</f>
        <v/>
      </c>
      <c r="N171" t="str">
        <f>IF(Fields[[#This Row],[Reference Entity]]&lt;&gt;"",RIGHT(Fields[[#This Row],[Column Name]],LEN(Fields[[#This Row],[Column Name]])-2),"")</f>
        <v/>
      </c>
      <c r="P171" s="1" t="s">
        <v>49</v>
      </c>
      <c r="R171"/>
      <c r="S171"/>
    </row>
    <row r="172" spans="1:22" x14ac:dyDescent="0.3">
      <c r="A172">
        <v>9</v>
      </c>
      <c r="B172" t="s">
        <v>7</v>
      </c>
      <c r="C172" t="s">
        <v>292</v>
      </c>
      <c r="D172" s="1" t="s">
        <v>46</v>
      </c>
      <c r="E172" t="s">
        <v>45</v>
      </c>
      <c r="F172" t="s">
        <v>239</v>
      </c>
      <c r="G172" s="2" t="s">
        <v>238</v>
      </c>
      <c r="H172" t="s">
        <v>20</v>
      </c>
      <c r="L172" s="1" t="s">
        <v>382</v>
      </c>
      <c r="M172" t="str">
        <f>IF(Fields[[#This Row],[Reference Entity]]&lt;&gt;"","t" &amp;Fields[[#This Row],[Reference Entity]],"")</f>
        <v/>
      </c>
      <c r="N172" t="str">
        <f>IF(Fields[[#This Row],[Reference Entity]]&lt;&gt;"",RIGHT(Fields[[#This Row],[Column Name]],LEN(Fields[[#This Row],[Column Name]])-2),"")</f>
        <v/>
      </c>
      <c r="P172" s="1"/>
      <c r="R172"/>
      <c r="S172"/>
    </row>
    <row r="173" spans="1:22" ht="72" x14ac:dyDescent="0.3">
      <c r="A173">
        <v>1</v>
      </c>
      <c r="B173" t="s">
        <v>634</v>
      </c>
      <c r="C173" t="s">
        <v>143</v>
      </c>
      <c r="D173" s="1" t="s">
        <v>144</v>
      </c>
      <c r="E173" t="s">
        <v>488</v>
      </c>
      <c r="F173" t="s">
        <v>487</v>
      </c>
      <c r="G173" s="2"/>
      <c r="L173" s="1" t="s">
        <v>346</v>
      </c>
      <c r="M173" t="str">
        <f>IF(Fields[[#This Row],[Reference Entity]]&lt;&gt;"","t" &amp;Fields[[#This Row],[Reference Entity]],"")</f>
        <v>tPlanElementInstance</v>
      </c>
      <c r="N173" t="str">
        <f>IF(Fields[[#This Row],[Reference Entity]]&lt;&gt;"",RIGHT(Fields[[#This Row],[Column Name]],LEN(Fields[[#This Row],[Column Name]])-2),"")</f>
        <v>PlanInstance</v>
      </c>
      <c r="O173" t="s">
        <v>142</v>
      </c>
      <c r="P173" s="1"/>
      <c r="Q173" t="str">
        <f>Fields[[#This Row],[Column Name]]</f>
        <v>idPlanInstance</v>
      </c>
      <c r="T173" s="1"/>
      <c r="U173" s="1"/>
      <c r="V173" t="s">
        <v>469</v>
      </c>
    </row>
    <row r="174" spans="1:22" x14ac:dyDescent="0.3">
      <c r="A174">
        <v>2</v>
      </c>
      <c r="B174" t="s">
        <v>634</v>
      </c>
      <c r="C174" t="s">
        <v>193</v>
      </c>
      <c r="D174" s="1" t="s">
        <v>191</v>
      </c>
      <c r="E174" t="s">
        <v>488</v>
      </c>
      <c r="F174" t="s">
        <v>487</v>
      </c>
      <c r="G174" s="2"/>
      <c r="L174" s="1" t="s">
        <v>335</v>
      </c>
      <c r="M174" t="str">
        <f>IF(Fields[[#This Row],[Reference Entity]]&lt;&gt;"","t" &amp;Fields[[#This Row],[Reference Entity]],"")</f>
        <v>tAccount</v>
      </c>
      <c r="N174" t="str">
        <f>IF(Fields[[#This Row],[Reference Entity]]&lt;&gt;"",RIGHT(Fields[[#This Row],[Column Name]],LEN(Fields[[#This Row],[Column Name]])-2),"")</f>
        <v>AccountDebit</v>
      </c>
      <c r="P174" s="1"/>
      <c r="Q174" t="str">
        <f>Fields[[#This Row],[Column Name]]</f>
        <v>idAccountDebit</v>
      </c>
      <c r="T174" s="1"/>
      <c r="U174" s="1" t="s">
        <v>360</v>
      </c>
      <c r="V174" t="s">
        <v>469</v>
      </c>
    </row>
    <row r="175" spans="1:22" ht="28.8" x14ac:dyDescent="0.3">
      <c r="A175">
        <v>3</v>
      </c>
      <c r="B175" t="s">
        <v>634</v>
      </c>
      <c r="C175" t="s">
        <v>194</v>
      </c>
      <c r="D175" s="1" t="s">
        <v>555</v>
      </c>
      <c r="E175" t="s">
        <v>488</v>
      </c>
      <c r="F175" t="s">
        <v>487</v>
      </c>
      <c r="G175" s="2"/>
      <c r="L175" s="1" t="s">
        <v>335</v>
      </c>
      <c r="M175" t="str">
        <f>IF(Fields[[#This Row],[Reference Entity]]&lt;&gt;"","t" &amp;Fields[[#This Row],[Reference Entity]],"")</f>
        <v>tAccount</v>
      </c>
      <c r="N175" t="str">
        <f>IF(Fields[[#This Row],[Reference Entity]]&lt;&gt;"",RIGHT(Fields[[#This Row],[Column Name]],LEN(Fields[[#This Row],[Column Name]])-2),"")</f>
        <v>AccountCredit</v>
      </c>
      <c r="P175" s="1"/>
      <c r="Q175" t="str">
        <f>Fields[[#This Row],[Column Name]]</f>
        <v>idAccountCredit</v>
      </c>
      <c r="T175" s="1"/>
      <c r="U175" s="1" t="s">
        <v>557</v>
      </c>
      <c r="V175" t="s">
        <v>469</v>
      </c>
    </row>
    <row r="176" spans="1:22" ht="28.8" x14ac:dyDescent="0.3">
      <c r="A176">
        <v>4</v>
      </c>
      <c r="B176" t="s">
        <v>634</v>
      </c>
      <c r="C176" t="s">
        <v>54</v>
      </c>
      <c r="D176" s="1" t="s">
        <v>72</v>
      </c>
      <c r="E176" t="s">
        <v>488</v>
      </c>
      <c r="F176" t="s">
        <v>487</v>
      </c>
      <c r="G176" s="2"/>
      <c r="H176" t="s">
        <v>20</v>
      </c>
      <c r="L176" s="1" t="s">
        <v>345</v>
      </c>
      <c r="M176" t="str">
        <f>IF(Fields[[#This Row],[Reference Entity]]&lt;&gt;"","t" &amp;Fields[[#This Row],[Reference Entity]],"")</f>
        <v>tPlanAllocationSchedule</v>
      </c>
      <c r="N176" t="str">
        <f>IF(Fields[[#This Row],[Reference Entity]]&lt;&gt;"",RIGHT(Fields[[#This Row],[Column Name]],LEN(Fields[[#This Row],[Column Name]])-2),"")</f>
        <v>AllocationSchedule</v>
      </c>
      <c r="P176" s="1"/>
      <c r="Q176" t="str">
        <f>Fields[[#This Row],[Column Name]]</f>
        <v>idAllocationSchedule</v>
      </c>
      <c r="T176" s="1"/>
      <c r="U176" s="1"/>
      <c r="V176" t="s">
        <v>469</v>
      </c>
    </row>
    <row r="177" spans="1:22" x14ac:dyDescent="0.3">
      <c r="A177">
        <v>5</v>
      </c>
      <c r="B177" t="s">
        <v>634</v>
      </c>
      <c r="C177" t="s">
        <v>138</v>
      </c>
      <c r="D177" s="1" t="s">
        <v>137</v>
      </c>
      <c r="E177" t="s">
        <v>124</v>
      </c>
      <c r="F177" t="s">
        <v>233</v>
      </c>
      <c r="G177" s="2"/>
      <c r="I177">
        <v>0</v>
      </c>
      <c r="K177" s="1" t="s">
        <v>138</v>
      </c>
      <c r="L177" s="1" t="s">
        <v>382</v>
      </c>
      <c r="M177" t="str">
        <f>IF(Fields[[#This Row],[Reference Entity]]&lt;&gt;"","t" &amp;Fields[[#This Row],[Reference Entity]],"")</f>
        <v/>
      </c>
      <c r="N177" t="str">
        <f>IF(Fields[[#This Row],[Reference Entity]]&lt;&gt;"",RIGHT(Fields[[#This Row],[Column Name]],LEN(Fields[[#This Row],[Column Name]])-2),"")</f>
        <v/>
      </c>
      <c r="P177" s="1"/>
      <c r="T177" s="1"/>
      <c r="U177" s="1"/>
      <c r="V177" t="s">
        <v>469</v>
      </c>
    </row>
    <row r="178" spans="1:22" ht="129.6" x14ac:dyDescent="0.3">
      <c r="A178">
        <v>6</v>
      </c>
      <c r="B178" t="s">
        <v>634</v>
      </c>
      <c r="C178" t="s">
        <v>460</v>
      </c>
      <c r="D178" s="1" t="s">
        <v>463</v>
      </c>
      <c r="E178" t="s">
        <v>488</v>
      </c>
      <c r="F178" t="s">
        <v>487</v>
      </c>
      <c r="G178" s="2"/>
      <c r="H178" t="s">
        <v>20</v>
      </c>
      <c r="L178" s="1" t="s">
        <v>450</v>
      </c>
      <c r="M178" t="str">
        <f>IF(Fields[[#This Row],[Reference Entity]]&lt;&gt;"","t" &amp;Fields[[#This Row],[Reference Entity]],"")</f>
        <v>tPlanInflationRule</v>
      </c>
      <c r="N178" t="str">
        <f>IF(Fields[[#This Row],[Reference Entity]]&lt;&gt;"",RIGHT(Fields[[#This Row],[Column Name]],LEN(Fields[[#This Row],[Column Name]])-2),"")</f>
        <v>InflationRule</v>
      </c>
      <c r="P178" s="1"/>
      <c r="Q178" t="str">
        <f>Fields[[#This Row],[Column Name]]</f>
        <v>idInflationRule</v>
      </c>
      <c r="T178" s="1"/>
      <c r="U178" s="1"/>
      <c r="V178" t="s">
        <v>469</v>
      </c>
    </row>
    <row r="179" spans="1:22" ht="28.8" x14ac:dyDescent="0.3">
      <c r="A179">
        <v>7</v>
      </c>
      <c r="B179" t="s">
        <v>634</v>
      </c>
      <c r="C179" t="s">
        <v>135</v>
      </c>
      <c r="D179" s="1" t="s">
        <v>74</v>
      </c>
      <c r="E179" t="s">
        <v>488</v>
      </c>
      <c r="F179" t="s">
        <v>487</v>
      </c>
      <c r="G179" s="2"/>
      <c r="H179" t="s">
        <v>20</v>
      </c>
      <c r="L179" s="1" t="s">
        <v>347</v>
      </c>
      <c r="M179" t="str">
        <f>IF(Fields[[#This Row],[Reference Entity]]&lt;&gt;"","t" &amp;Fields[[#This Row],[Reference Entity]],"")</f>
        <v>tPlanParameter</v>
      </c>
      <c r="N179" t="str">
        <f>IF(Fields[[#This Row],[Reference Entity]]&lt;&gt;"",RIGHT(Fields[[#This Row],[Column Name]],LEN(Fields[[#This Row],[Column Name]])-2),"")</f>
        <v>ParPrice1</v>
      </c>
      <c r="P179" s="1"/>
      <c r="Q179" t="str">
        <f>Fields[[#This Row],[Column Name]]</f>
        <v>idParPrice1</v>
      </c>
      <c r="T179" s="1"/>
      <c r="U179" s="1" t="s">
        <v>361</v>
      </c>
      <c r="V179" t="s">
        <v>469</v>
      </c>
    </row>
    <row r="180" spans="1:22" ht="28.8" x14ac:dyDescent="0.3">
      <c r="A180">
        <v>8</v>
      </c>
      <c r="B180" t="s">
        <v>634</v>
      </c>
      <c r="C180" t="s">
        <v>136</v>
      </c>
      <c r="D180" s="1" t="s">
        <v>84</v>
      </c>
      <c r="E180" t="s">
        <v>488</v>
      </c>
      <c r="F180" t="s">
        <v>487</v>
      </c>
      <c r="G180" s="2"/>
      <c r="H180" t="s">
        <v>20</v>
      </c>
      <c r="L180" s="1" t="s">
        <v>347</v>
      </c>
      <c r="M180" t="str">
        <f>IF(Fields[[#This Row],[Reference Entity]]&lt;&gt;"","t" &amp;Fields[[#This Row],[Reference Entity]],"")</f>
        <v>tPlanParameter</v>
      </c>
      <c r="N180" t="str">
        <f>IF(Fields[[#This Row],[Reference Entity]]&lt;&gt;"",RIGHT(Fields[[#This Row],[Column Name]],LEN(Fields[[#This Row],[Column Name]])-2),"")</f>
        <v>ParPrice2</v>
      </c>
      <c r="P180" s="1"/>
      <c r="Q180" t="str">
        <f>Fields[[#This Row],[Column Name]]</f>
        <v>idParPrice2</v>
      </c>
      <c r="T180" s="1"/>
      <c r="U180" s="1" t="s">
        <v>362</v>
      </c>
      <c r="V180" t="s">
        <v>469</v>
      </c>
    </row>
    <row r="181" spans="1:22" x14ac:dyDescent="0.3">
      <c r="A181">
        <v>10</v>
      </c>
      <c r="B181" t="s">
        <v>634</v>
      </c>
      <c r="C181" t="s">
        <v>57</v>
      </c>
      <c r="D181" s="1" t="s">
        <v>85</v>
      </c>
      <c r="E181" t="s">
        <v>30</v>
      </c>
      <c r="F181" t="s">
        <v>4</v>
      </c>
      <c r="G181" s="2"/>
      <c r="I181">
        <v>1</v>
      </c>
      <c r="L181" s="1" t="s">
        <v>382</v>
      </c>
      <c r="M181" t="str">
        <f>IF(Fields[[#This Row],[Reference Entity]]&lt;&gt;"","t" &amp;Fields[[#This Row],[Reference Entity]],"")</f>
        <v/>
      </c>
      <c r="N181" t="str">
        <f>IF(Fields[[#This Row],[Reference Entity]]&lt;&gt;"",RIGHT(Fields[[#This Row],[Column Name]],LEN(Fields[[#This Row],[Column Name]])-2),"")</f>
        <v/>
      </c>
      <c r="P181" s="1"/>
      <c r="T181" s="1"/>
      <c r="U181" s="1"/>
      <c r="V181" t="s">
        <v>469</v>
      </c>
    </row>
    <row r="182" spans="1:22" ht="28.8" x14ac:dyDescent="0.3">
      <c r="A182">
        <v>11</v>
      </c>
      <c r="B182" t="s">
        <v>634</v>
      </c>
      <c r="C182" t="s">
        <v>68</v>
      </c>
      <c r="D182" s="1" t="s">
        <v>86</v>
      </c>
      <c r="E182" t="s">
        <v>60</v>
      </c>
      <c r="F182" t="s">
        <v>234</v>
      </c>
      <c r="G182" s="2"/>
      <c r="L182" s="1" t="s">
        <v>382</v>
      </c>
      <c r="M182" t="str">
        <f>IF(Fields[[#This Row],[Reference Entity]]&lt;&gt;"","t" &amp;Fields[[#This Row],[Reference Entity]],"")</f>
        <v/>
      </c>
      <c r="N182" t="str">
        <f>IF(Fields[[#This Row],[Reference Entity]]&lt;&gt;"",RIGHT(Fields[[#This Row],[Column Name]],LEN(Fields[[#This Row],[Column Name]])-2),"")</f>
        <v/>
      </c>
      <c r="P182" s="1"/>
      <c r="T182" s="1"/>
      <c r="U182" s="1"/>
      <c r="V182" t="s">
        <v>469</v>
      </c>
    </row>
    <row r="183" spans="1:22" x14ac:dyDescent="0.3">
      <c r="A183">
        <v>12</v>
      </c>
      <c r="B183" t="s">
        <v>634</v>
      </c>
      <c r="C183" t="s">
        <v>58</v>
      </c>
      <c r="D183" s="1" t="s">
        <v>87</v>
      </c>
      <c r="E183" t="s">
        <v>17</v>
      </c>
      <c r="F183" t="s">
        <v>388</v>
      </c>
      <c r="G183" s="2"/>
      <c r="H183" t="s">
        <v>20</v>
      </c>
      <c r="L183" s="1" t="s">
        <v>382</v>
      </c>
      <c r="M183" t="str">
        <f>IF(Fields[[#This Row],[Reference Entity]]&lt;&gt;"","t" &amp;Fields[[#This Row],[Reference Entity]],"")</f>
        <v/>
      </c>
      <c r="N183" t="str">
        <f>IF(Fields[[#This Row],[Reference Entity]]&lt;&gt;"",RIGHT(Fields[[#This Row],[Column Name]],LEN(Fields[[#This Row],[Column Name]])-2),"")</f>
        <v/>
      </c>
      <c r="P183" s="1"/>
      <c r="T183" s="1"/>
      <c r="U183" s="1"/>
      <c r="V183" t="s">
        <v>469</v>
      </c>
    </row>
    <row r="184" spans="1:22" x14ac:dyDescent="0.3">
      <c r="A184">
        <v>13</v>
      </c>
      <c r="B184" t="s">
        <v>634</v>
      </c>
      <c r="C184" t="s">
        <v>524</v>
      </c>
      <c r="D184" s="1" t="s">
        <v>568</v>
      </c>
      <c r="E184" t="s">
        <v>60</v>
      </c>
      <c r="F184" t="s">
        <v>234</v>
      </c>
      <c r="G184" s="2"/>
      <c r="L184" s="1" t="s">
        <v>382</v>
      </c>
      <c r="M184" t="str">
        <f>IF(Fields[[#This Row],[Reference Entity]]&lt;&gt;"","t" &amp;Fields[[#This Row],[Reference Entity]],"")</f>
        <v/>
      </c>
      <c r="N184" t="str">
        <f>IF(Fields[[#This Row],[Reference Entity]]&lt;&gt;"",RIGHT(Fields[[#This Row],[Column Name]],LEN(Fields[[#This Row],[Column Name]])-2),"")</f>
        <v/>
      </c>
      <c r="P184" s="1"/>
      <c r="T184" s="1"/>
      <c r="U184" s="1"/>
      <c r="V184" t="s">
        <v>469</v>
      </c>
    </row>
    <row r="185" spans="1:22" ht="28.8" x14ac:dyDescent="0.3">
      <c r="A185">
        <v>14</v>
      </c>
      <c r="B185" t="s">
        <v>634</v>
      </c>
      <c r="C185" t="s">
        <v>499</v>
      </c>
      <c r="D185" s="1" t="s">
        <v>500</v>
      </c>
      <c r="E185" t="s">
        <v>488</v>
      </c>
      <c r="F185" t="s">
        <v>487</v>
      </c>
      <c r="G185" s="2"/>
      <c r="H185" t="s">
        <v>20</v>
      </c>
      <c r="L185" s="1" t="s">
        <v>347</v>
      </c>
      <c r="M185" t="str">
        <f>IF(Fields[[#This Row],[Reference Entity]]&lt;&gt;"","t" &amp;Fields[[#This Row],[Reference Entity]],"")</f>
        <v>tPlanParameter</v>
      </c>
      <c r="N185" t="str">
        <f>IF(Fields[[#This Row],[Reference Entity]]&lt;&gt;"",RIGHT(Fields[[#This Row],[Column Name]],LEN(Fields[[#This Row],[Column Name]])-2),"")</f>
        <v>ParContingencyRate</v>
      </c>
      <c r="P185" s="1"/>
      <c r="Q185" t="str">
        <f>Fields[[#This Row],[Column Name]]</f>
        <v>idParContingencyRate</v>
      </c>
      <c r="T185" s="1"/>
      <c r="U185" s="1" t="s">
        <v>69</v>
      </c>
      <c r="V185" t="s">
        <v>469</v>
      </c>
    </row>
    <row r="186" spans="1:22" ht="28.8" x14ac:dyDescent="0.3">
      <c r="A186">
        <v>15</v>
      </c>
      <c r="B186" t="s">
        <v>634</v>
      </c>
      <c r="C186" t="s">
        <v>815</v>
      </c>
      <c r="D186" s="1" t="s">
        <v>816</v>
      </c>
      <c r="E186" t="s">
        <v>18</v>
      </c>
      <c r="F186" t="s">
        <v>6</v>
      </c>
      <c r="G186" s="2"/>
      <c r="I186">
        <v>0</v>
      </c>
      <c r="L186" s="1"/>
      <c r="M186" t="str">
        <f>IF(Fields[[#This Row],[Reference Entity]]&lt;&gt;"","t" &amp;Fields[[#This Row],[Reference Entity]],"")</f>
        <v/>
      </c>
      <c r="P186" s="1"/>
      <c r="T186" s="1"/>
      <c r="U186" s="1"/>
    </row>
    <row r="187" spans="1:22" ht="86.4" x14ac:dyDescent="0.3">
      <c r="A187">
        <v>1</v>
      </c>
      <c r="B187" t="s">
        <v>639</v>
      </c>
      <c r="C187" t="s">
        <v>143</v>
      </c>
      <c r="D187" s="1" t="s">
        <v>640</v>
      </c>
      <c r="E187" t="s">
        <v>488</v>
      </c>
      <c r="F187" t="s">
        <v>487</v>
      </c>
      <c r="G187" s="2"/>
      <c r="L187" s="1" t="s">
        <v>346</v>
      </c>
      <c r="M187" t="str">
        <f>IF(Fields[[#This Row],[Reference Entity]]&lt;&gt;"","t" &amp;Fields[[#This Row],[Reference Entity]],"")</f>
        <v>tPlanElementInstance</v>
      </c>
      <c r="N187" t="str">
        <f>IF(Fields[[#This Row],[Reference Entity]]&lt;&gt;"",RIGHT(Fields[[#This Row],[Column Name]],LEN(Fields[[#This Row],[Column Name]])-2),"")</f>
        <v>PlanInstance</v>
      </c>
      <c r="O187" t="s">
        <v>142</v>
      </c>
      <c r="P187" s="1"/>
      <c r="Q187" t="str">
        <f>Fields[[#This Row],[Column Name]]</f>
        <v>idPlanInstance</v>
      </c>
      <c r="R187"/>
      <c r="S187"/>
    </row>
    <row r="188" spans="1:22" x14ac:dyDescent="0.3">
      <c r="A188">
        <v>2</v>
      </c>
      <c r="B188" t="s">
        <v>639</v>
      </c>
      <c r="C188" t="s">
        <v>190</v>
      </c>
      <c r="D188" s="1" t="s">
        <v>191</v>
      </c>
      <c r="E188" t="s">
        <v>488</v>
      </c>
      <c r="F188" t="s">
        <v>487</v>
      </c>
      <c r="G188" s="2"/>
      <c r="L188" s="1" t="s">
        <v>335</v>
      </c>
      <c r="M188" t="str">
        <f>IF(Fields[[#This Row],[Reference Entity]]&lt;&gt;"","t" &amp;Fields[[#This Row],[Reference Entity]],"")</f>
        <v>tAccount</v>
      </c>
      <c r="N188" t="str">
        <f>IF(Fields[[#This Row],[Reference Entity]]&lt;&gt;"",RIGHT(Fields[[#This Row],[Column Name]],LEN(Fields[[#This Row],[Column Name]])-2),"")</f>
        <v>AccountMain</v>
      </c>
      <c r="P188" s="1"/>
      <c r="Q188" t="str">
        <f>Fields[[#This Row],[Column Name]]</f>
        <v>idAccountMain</v>
      </c>
      <c r="R188"/>
      <c r="S188"/>
      <c r="U188" t="s">
        <v>360</v>
      </c>
    </row>
    <row r="189" spans="1:22" ht="28.8" x14ac:dyDescent="0.3">
      <c r="A189">
        <v>3</v>
      </c>
      <c r="B189" t="s">
        <v>639</v>
      </c>
      <c r="C189" t="s">
        <v>54</v>
      </c>
      <c r="D189" s="1" t="s">
        <v>72</v>
      </c>
      <c r="E189" t="s">
        <v>488</v>
      </c>
      <c r="F189" t="s">
        <v>487</v>
      </c>
      <c r="G189" s="2"/>
      <c r="H189" t="s">
        <v>20</v>
      </c>
      <c r="L189" s="1" t="s">
        <v>345</v>
      </c>
      <c r="M189" t="str">
        <f>IF(Fields[[#This Row],[Reference Entity]]&lt;&gt;"","t" &amp;Fields[[#This Row],[Reference Entity]],"")</f>
        <v>tPlanAllocationSchedule</v>
      </c>
      <c r="N189" t="str">
        <f>IF(Fields[[#This Row],[Reference Entity]]&lt;&gt;"",RIGHT(Fields[[#This Row],[Column Name]],LEN(Fields[[#This Row],[Column Name]])-2),"")</f>
        <v>AllocationSchedule</v>
      </c>
      <c r="P189" s="1"/>
      <c r="Q189" t="str">
        <f>Fields[[#This Row],[Column Name]]</f>
        <v>idAllocationSchedule</v>
      </c>
      <c r="R189"/>
      <c r="S189"/>
    </row>
    <row r="190" spans="1:22" x14ac:dyDescent="0.3">
      <c r="A190">
        <v>4</v>
      </c>
      <c r="B190" t="s">
        <v>639</v>
      </c>
      <c r="C190" t="s">
        <v>138</v>
      </c>
      <c r="D190" s="1" t="s">
        <v>137</v>
      </c>
      <c r="E190" t="s">
        <v>124</v>
      </c>
      <c r="F190" t="s">
        <v>233</v>
      </c>
      <c r="G190" s="2"/>
      <c r="I190">
        <v>0</v>
      </c>
      <c r="K190" s="1" t="s">
        <v>138</v>
      </c>
      <c r="L190" s="1" t="s">
        <v>382</v>
      </c>
      <c r="M190" t="str">
        <f>IF(Fields[[#This Row],[Reference Entity]]&lt;&gt;"","t" &amp;Fields[[#This Row],[Reference Entity]],"")</f>
        <v/>
      </c>
      <c r="N190" t="str">
        <f>IF(Fields[[#This Row],[Reference Entity]]&lt;&gt;"",RIGHT(Fields[[#This Row],[Column Name]],LEN(Fields[[#This Row],[Column Name]])-2),"")</f>
        <v/>
      </c>
      <c r="P190" s="1"/>
      <c r="R190"/>
      <c r="S190"/>
    </row>
    <row r="191" spans="1:22" x14ac:dyDescent="0.3">
      <c r="A191">
        <v>5</v>
      </c>
      <c r="B191" t="s">
        <v>639</v>
      </c>
      <c r="C191" t="s">
        <v>556</v>
      </c>
      <c r="D191" s="1" t="s">
        <v>555</v>
      </c>
      <c r="E191" t="s">
        <v>488</v>
      </c>
      <c r="F191" t="s">
        <v>487</v>
      </c>
      <c r="G191" s="2"/>
      <c r="H191" t="s">
        <v>20</v>
      </c>
      <c r="L191" s="1" t="s">
        <v>335</v>
      </c>
      <c r="M191" t="str">
        <f>IF(Fields[[#This Row],[Reference Entity]]&lt;&gt;"","t" &amp;Fields[[#This Row],[Reference Entity]],"")</f>
        <v>tAccount</v>
      </c>
      <c r="N191" t="str">
        <f>IF(Fields[[#This Row],[Reference Entity]]&lt;&gt;"",RIGHT(Fields[[#This Row],[Column Name]],LEN(Fields[[#This Row],[Column Name]])-2),"")</f>
        <v>AccountAdvance</v>
      </c>
      <c r="P191" s="1"/>
      <c r="Q191" t="str">
        <f>Fields[[#This Row],[Column Name]]</f>
        <v>idAccountAdvance</v>
      </c>
      <c r="R191"/>
      <c r="S191"/>
      <c r="U191" t="s">
        <v>557</v>
      </c>
      <c r="V191" t="s">
        <v>449</v>
      </c>
    </row>
    <row r="192" spans="1:22" ht="43.2" x14ac:dyDescent="0.3">
      <c r="A192">
        <v>6</v>
      </c>
      <c r="B192" t="s">
        <v>639</v>
      </c>
      <c r="C192" t="s">
        <v>553</v>
      </c>
      <c r="D192" s="1" t="s">
        <v>563</v>
      </c>
      <c r="E192" t="s">
        <v>488</v>
      </c>
      <c r="F192" t="s">
        <v>487</v>
      </c>
      <c r="G192" s="2"/>
      <c r="H192" t="s">
        <v>20</v>
      </c>
      <c r="L192" s="1" t="s">
        <v>347</v>
      </c>
      <c r="M192" t="str">
        <f>IF(Fields[[#This Row],[Reference Entity]]&lt;&gt;"","t" &amp;Fields[[#This Row],[Reference Entity]],"")</f>
        <v>tPlanParameter</v>
      </c>
      <c r="N192" t="str">
        <f>IF(Fields[[#This Row],[Reference Entity]]&lt;&gt;"",RIGHT(Fields[[#This Row],[Column Name]],LEN(Fields[[#This Row],[Column Name]])-2),"")</f>
        <v>ParTriggerAdvance</v>
      </c>
      <c r="P192" s="1"/>
      <c r="Q192" t="str">
        <f>Fields[[#This Row],[Column Name]]</f>
        <v>idParTriggerAdvance</v>
      </c>
      <c r="R192"/>
      <c r="S192"/>
      <c r="U192" t="s">
        <v>554</v>
      </c>
      <c r="V192" t="s">
        <v>469</v>
      </c>
    </row>
    <row r="193" spans="1:22" ht="43.2" x14ac:dyDescent="0.3">
      <c r="A193">
        <v>7</v>
      </c>
      <c r="B193" t="s">
        <v>639</v>
      </c>
      <c r="C193" t="s">
        <v>562</v>
      </c>
      <c r="D193" s="1" t="s">
        <v>564</v>
      </c>
      <c r="E193" t="s">
        <v>30</v>
      </c>
      <c r="F193" t="s">
        <v>4</v>
      </c>
      <c r="G193" s="2"/>
      <c r="I193">
        <v>0</v>
      </c>
      <c r="L193" s="1" t="s">
        <v>382</v>
      </c>
      <c r="M193" t="str">
        <f>IF(Fields[[#This Row],[Reference Entity]]&lt;&gt;"","t" &amp;Fields[[#This Row],[Reference Entity]],"")</f>
        <v/>
      </c>
      <c r="N193" t="str">
        <f>IF(Fields[[#This Row],[Reference Entity]]&lt;&gt;"",RIGHT(Fields[[#This Row],[Column Name]],LEN(Fields[[#This Row],[Column Name]])-2),"")</f>
        <v/>
      </c>
      <c r="P193" s="1"/>
      <c r="R193"/>
      <c r="S193"/>
      <c r="V193" t="s">
        <v>469</v>
      </c>
    </row>
    <row r="194" spans="1:22" x14ac:dyDescent="0.3">
      <c r="A194">
        <v>8</v>
      </c>
      <c r="B194" t="s">
        <v>639</v>
      </c>
      <c r="C194" t="s">
        <v>188</v>
      </c>
      <c r="D194" s="1" t="s">
        <v>641</v>
      </c>
      <c r="E194" t="s">
        <v>488</v>
      </c>
      <c r="F194" t="s">
        <v>487</v>
      </c>
      <c r="G194" s="2"/>
      <c r="H194" t="s">
        <v>20</v>
      </c>
      <c r="L194" s="1" t="s">
        <v>338</v>
      </c>
      <c r="M194" t="str">
        <f>IF(Fields[[#This Row],[Reference Entity]]&lt;&gt;"","t" &amp;Fields[[#This Row],[Reference Entity]],"")</f>
        <v>tDepreciationRule</v>
      </c>
      <c r="N194" t="str">
        <f>IF(Fields[[#This Row],[Reference Entity]]&lt;&gt;"",RIGHT(Fields[[#This Row],[Column Name]],LEN(Fields[[#This Row],[Column Name]])-2),"")</f>
        <v>DepreciationRule</v>
      </c>
      <c r="P194" s="1"/>
      <c r="Q194" t="str">
        <f>Fields[[#This Row],[Column Name]]</f>
        <v>idDepreciationRule</v>
      </c>
      <c r="R194"/>
      <c r="S194"/>
    </row>
    <row r="195" spans="1:22" ht="28.8" x14ac:dyDescent="0.3">
      <c r="A195">
        <v>9</v>
      </c>
      <c r="B195" t="s">
        <v>639</v>
      </c>
      <c r="C195" t="s">
        <v>192</v>
      </c>
      <c r="D195" s="1" t="s">
        <v>642</v>
      </c>
      <c r="E195" t="s">
        <v>488</v>
      </c>
      <c r="F195" t="s">
        <v>487</v>
      </c>
      <c r="G195" s="2"/>
      <c r="H195" t="s">
        <v>20</v>
      </c>
      <c r="L195" s="1" t="s">
        <v>347</v>
      </c>
      <c r="M195" t="str">
        <f>IF(Fields[[#This Row],[Reference Entity]]&lt;&gt;"","t" &amp;Fields[[#This Row],[Reference Entity]],"")</f>
        <v>tPlanParameter</v>
      </c>
      <c r="N195" t="str">
        <f>IF(Fields[[#This Row],[Reference Entity]]&lt;&gt;"",RIGHT(Fields[[#This Row],[Column Name]],LEN(Fields[[#This Row],[Column Name]])-2),"")</f>
        <v>DepreciationTrigger</v>
      </c>
      <c r="P195" s="1"/>
      <c r="Q195" t="str">
        <f>Fields[[#This Row],[Column Name]]</f>
        <v>idDepreciationTrigger</v>
      </c>
      <c r="R195"/>
      <c r="S195"/>
      <c r="U195" t="s">
        <v>377</v>
      </c>
    </row>
    <row r="196" spans="1:22" ht="43.2" x14ac:dyDescent="0.3">
      <c r="A196">
        <v>10</v>
      </c>
      <c r="B196" t="s">
        <v>639</v>
      </c>
      <c r="C196" t="s">
        <v>801</v>
      </c>
      <c r="D196" s="1" t="s">
        <v>805</v>
      </c>
      <c r="E196" t="s">
        <v>30</v>
      </c>
      <c r="F196" t="s">
        <v>4</v>
      </c>
      <c r="G196" s="2"/>
      <c r="H196" t="s">
        <v>20</v>
      </c>
      <c r="L196" s="1"/>
      <c r="M196" t="str">
        <f>IF(Fields[[#This Row],[Reference Entity]]&lt;&gt;"","t" &amp;Fields[[#This Row],[Reference Entity]],"")</f>
        <v/>
      </c>
      <c r="P196" s="1"/>
      <c r="R196"/>
      <c r="S196"/>
    </row>
    <row r="197" spans="1:22" x14ac:dyDescent="0.3">
      <c r="A197">
        <v>11</v>
      </c>
      <c r="B197" t="s">
        <v>639</v>
      </c>
      <c r="C197" t="s">
        <v>802</v>
      </c>
      <c r="D197" s="1" t="s">
        <v>806</v>
      </c>
      <c r="E197" t="s">
        <v>30</v>
      </c>
      <c r="F197" t="s">
        <v>4</v>
      </c>
      <c r="G197" s="2"/>
      <c r="H197" t="s">
        <v>20</v>
      </c>
      <c r="L197" s="1"/>
      <c r="M197" t="str">
        <f>IF(Fields[[#This Row],[Reference Entity]]&lt;&gt;"","t" &amp;Fields[[#This Row],[Reference Entity]],"")</f>
        <v/>
      </c>
      <c r="P197" s="1"/>
      <c r="R197"/>
      <c r="S197"/>
    </row>
    <row r="198" spans="1:22" x14ac:dyDescent="0.3">
      <c r="A198">
        <v>12</v>
      </c>
      <c r="B198" t="s">
        <v>639</v>
      </c>
      <c r="C198" t="s">
        <v>803</v>
      </c>
      <c r="D198" s="1" t="s">
        <v>806</v>
      </c>
      <c r="E198" t="s">
        <v>30</v>
      </c>
      <c r="F198" t="s">
        <v>4</v>
      </c>
      <c r="G198" s="2"/>
      <c r="H198" t="s">
        <v>20</v>
      </c>
      <c r="L198" s="1"/>
      <c r="M198" t="str">
        <f>IF(Fields[[#This Row],[Reference Entity]]&lt;&gt;"","t" &amp;Fields[[#This Row],[Reference Entity]],"")</f>
        <v/>
      </c>
      <c r="P198" s="1"/>
      <c r="R198"/>
      <c r="S198"/>
    </row>
    <row r="199" spans="1:22" ht="43.2" x14ac:dyDescent="0.3">
      <c r="A199">
        <v>13</v>
      </c>
      <c r="B199" t="s">
        <v>639</v>
      </c>
      <c r="C199" t="s">
        <v>189</v>
      </c>
      <c r="D199" s="1" t="s">
        <v>804</v>
      </c>
      <c r="E199" t="s">
        <v>30</v>
      </c>
      <c r="F199" t="s">
        <v>4</v>
      </c>
      <c r="G199" s="2"/>
      <c r="I199">
        <v>0</v>
      </c>
      <c r="L199" s="1" t="s">
        <v>382</v>
      </c>
      <c r="M199" t="str">
        <f>IF(Fields[[#This Row],[Reference Entity]]&lt;&gt;"","t" &amp;Fields[[#This Row],[Reference Entity]],"")</f>
        <v/>
      </c>
      <c r="N199" t="str">
        <f>IF(Fields[[#This Row],[Reference Entity]]&lt;&gt;"",RIGHT(Fields[[#This Row],[Column Name]],LEN(Fields[[#This Row],[Column Name]])-2),"")</f>
        <v/>
      </c>
      <c r="P199" s="1"/>
      <c r="R199"/>
      <c r="S199"/>
    </row>
    <row r="200" spans="1:22" x14ac:dyDescent="0.3">
      <c r="A200">
        <v>14</v>
      </c>
      <c r="B200" t="s">
        <v>639</v>
      </c>
      <c r="C200" t="s">
        <v>56</v>
      </c>
      <c r="D200" s="1" t="s">
        <v>73</v>
      </c>
      <c r="E200" t="s">
        <v>488</v>
      </c>
      <c r="F200" t="s">
        <v>487</v>
      </c>
      <c r="G200" s="2"/>
      <c r="H200" t="s">
        <v>20</v>
      </c>
      <c r="L200" s="1" t="s">
        <v>339</v>
      </c>
      <c r="M200" t="str">
        <f>IF(Fields[[#This Row],[Reference Entity]]&lt;&gt;"","t" &amp;Fields[[#This Row],[Reference Entity]],"")</f>
        <v>tVATRule</v>
      </c>
      <c r="N200" t="str">
        <f>IF(Fields[[#This Row],[Reference Entity]]&lt;&gt;"",RIGHT(Fields[[#This Row],[Column Name]],LEN(Fields[[#This Row],[Column Name]])-2),"")</f>
        <v>VATRule</v>
      </c>
      <c r="P200" s="1"/>
      <c r="Q200" t="str">
        <f>Fields[[#This Row],[Column Name]]</f>
        <v>idVATRule</v>
      </c>
      <c r="R200"/>
      <c r="S200"/>
    </row>
    <row r="201" spans="1:22" ht="129.6" x14ac:dyDescent="0.3">
      <c r="A201">
        <v>15</v>
      </c>
      <c r="B201" t="s">
        <v>639</v>
      </c>
      <c r="C201" t="s">
        <v>460</v>
      </c>
      <c r="D201" s="1" t="s">
        <v>463</v>
      </c>
      <c r="E201" t="s">
        <v>488</v>
      </c>
      <c r="F201" t="s">
        <v>487</v>
      </c>
      <c r="G201" s="2"/>
      <c r="H201" t="s">
        <v>20</v>
      </c>
      <c r="L201" s="1" t="s">
        <v>450</v>
      </c>
      <c r="M201" t="str">
        <f>IF(Fields[[#This Row],[Reference Entity]]&lt;&gt;"","t" &amp;Fields[[#This Row],[Reference Entity]],"")</f>
        <v>tPlanInflationRule</v>
      </c>
      <c r="N201" t="str">
        <f>IF(Fields[[#This Row],[Reference Entity]]&lt;&gt;"",RIGHT(Fields[[#This Row],[Column Name]],LEN(Fields[[#This Row],[Column Name]])-2),"")</f>
        <v>InflationRule</v>
      </c>
      <c r="P201" s="1"/>
      <c r="Q201" t="str">
        <f>Fields[[#This Row],[Column Name]]</f>
        <v>idInflationRule</v>
      </c>
      <c r="R201"/>
      <c r="S201"/>
    </row>
    <row r="202" spans="1:22" ht="28.8" x14ac:dyDescent="0.3">
      <c r="A202">
        <v>16</v>
      </c>
      <c r="B202" t="s">
        <v>639</v>
      </c>
      <c r="C202" t="s">
        <v>135</v>
      </c>
      <c r="D202" s="1" t="s">
        <v>74</v>
      </c>
      <c r="E202" t="s">
        <v>488</v>
      </c>
      <c r="F202" t="s">
        <v>487</v>
      </c>
      <c r="G202" s="2"/>
      <c r="H202" t="s">
        <v>20</v>
      </c>
      <c r="L202" s="1" t="s">
        <v>347</v>
      </c>
      <c r="M202" t="str">
        <f>IF(Fields[[#This Row],[Reference Entity]]&lt;&gt;"","t" &amp;Fields[[#This Row],[Reference Entity]],"")</f>
        <v>tPlanParameter</v>
      </c>
      <c r="N202" t="str">
        <f>IF(Fields[[#This Row],[Reference Entity]]&lt;&gt;"",RIGHT(Fields[[#This Row],[Column Name]],LEN(Fields[[#This Row],[Column Name]])-2),"")</f>
        <v>ParPrice1</v>
      </c>
      <c r="P202" s="1"/>
      <c r="Q202" t="str">
        <f>Fields[[#This Row],[Column Name]]</f>
        <v>idParPrice1</v>
      </c>
      <c r="R202"/>
      <c r="S202"/>
      <c r="U202" t="s">
        <v>361</v>
      </c>
    </row>
    <row r="203" spans="1:22" ht="28.8" x14ac:dyDescent="0.3">
      <c r="A203">
        <v>17</v>
      </c>
      <c r="B203" t="s">
        <v>639</v>
      </c>
      <c r="C203" t="s">
        <v>136</v>
      </c>
      <c r="D203" s="1" t="s">
        <v>84</v>
      </c>
      <c r="E203" t="s">
        <v>488</v>
      </c>
      <c r="F203" t="s">
        <v>487</v>
      </c>
      <c r="G203" s="2"/>
      <c r="H203" t="s">
        <v>20</v>
      </c>
      <c r="L203" s="1" t="s">
        <v>347</v>
      </c>
      <c r="M203" t="str">
        <f>IF(Fields[[#This Row],[Reference Entity]]&lt;&gt;"","t" &amp;Fields[[#This Row],[Reference Entity]],"")</f>
        <v>tPlanParameter</v>
      </c>
      <c r="N203" t="str">
        <f>IF(Fields[[#This Row],[Reference Entity]]&lt;&gt;"",RIGHT(Fields[[#This Row],[Column Name]],LEN(Fields[[#This Row],[Column Name]])-2),"")</f>
        <v>ParPrice2</v>
      </c>
      <c r="P203" s="1"/>
      <c r="Q203" t="str">
        <f>Fields[[#This Row],[Column Name]]</f>
        <v>idParPrice2</v>
      </c>
      <c r="R203"/>
      <c r="S203"/>
      <c r="U203" t="s">
        <v>362</v>
      </c>
    </row>
    <row r="204" spans="1:22" ht="28.8" x14ac:dyDescent="0.3">
      <c r="A204">
        <v>18</v>
      </c>
      <c r="B204" t="s">
        <v>639</v>
      </c>
      <c r="C204" t="s">
        <v>55</v>
      </c>
      <c r="D204" s="1" t="s">
        <v>79</v>
      </c>
      <c r="E204" t="s">
        <v>30</v>
      </c>
      <c r="F204" t="s">
        <v>4</v>
      </c>
      <c r="G204" s="2"/>
      <c r="L204" s="1" t="s">
        <v>382</v>
      </c>
      <c r="M204" t="str">
        <f>IF(Fields[[#This Row],[Reference Entity]]&lt;&gt;"","t" &amp;Fields[[#This Row],[Reference Entity]],"")</f>
        <v/>
      </c>
      <c r="N204" t="str">
        <f>IF(Fields[[#This Row],[Reference Entity]]&lt;&gt;"",RIGHT(Fields[[#This Row],[Column Name]],LEN(Fields[[#This Row],[Column Name]])-2),"")</f>
        <v/>
      </c>
      <c r="P204" s="1"/>
      <c r="R204"/>
      <c r="S204"/>
    </row>
    <row r="205" spans="1:22" x14ac:dyDescent="0.3">
      <c r="A205">
        <v>19</v>
      </c>
      <c r="B205" t="s">
        <v>639</v>
      </c>
      <c r="C205" t="s">
        <v>57</v>
      </c>
      <c r="D205" s="1" t="s">
        <v>85</v>
      </c>
      <c r="E205" t="s">
        <v>30</v>
      </c>
      <c r="F205" t="s">
        <v>4</v>
      </c>
      <c r="G205" s="2"/>
      <c r="I205">
        <v>1</v>
      </c>
      <c r="L205" s="1" t="s">
        <v>382</v>
      </c>
      <c r="M205" t="str">
        <f>IF(Fields[[#This Row],[Reference Entity]]&lt;&gt;"","t" &amp;Fields[[#This Row],[Reference Entity]],"")</f>
        <v/>
      </c>
      <c r="N205" t="str">
        <f>IF(Fields[[#This Row],[Reference Entity]]&lt;&gt;"",RIGHT(Fields[[#This Row],[Column Name]],LEN(Fields[[#This Row],[Column Name]])-2),"")</f>
        <v/>
      </c>
      <c r="P205" s="1"/>
      <c r="R205"/>
      <c r="S205"/>
    </row>
    <row r="206" spans="1:22" ht="28.8" x14ac:dyDescent="0.3">
      <c r="A206">
        <v>20</v>
      </c>
      <c r="B206" t="s">
        <v>639</v>
      </c>
      <c r="C206" t="s">
        <v>68</v>
      </c>
      <c r="D206" s="1" t="s">
        <v>86</v>
      </c>
      <c r="E206" t="s">
        <v>60</v>
      </c>
      <c r="F206" t="s">
        <v>234</v>
      </c>
      <c r="G206" s="2"/>
      <c r="L206" s="1" t="s">
        <v>382</v>
      </c>
      <c r="M206" t="str">
        <f>IF(Fields[[#This Row],[Reference Entity]]&lt;&gt;"","t" &amp;Fields[[#This Row],[Reference Entity]],"")</f>
        <v/>
      </c>
      <c r="N206" t="str">
        <f>IF(Fields[[#This Row],[Reference Entity]]&lt;&gt;"",RIGHT(Fields[[#This Row],[Column Name]],LEN(Fields[[#This Row],[Column Name]])-2),"")</f>
        <v/>
      </c>
      <c r="P206" s="1"/>
      <c r="R206"/>
      <c r="S206"/>
    </row>
    <row r="207" spans="1:22" x14ac:dyDescent="0.3">
      <c r="A207">
        <v>21</v>
      </c>
      <c r="B207" t="s">
        <v>639</v>
      </c>
      <c r="C207" t="s">
        <v>58</v>
      </c>
      <c r="D207" s="1" t="s">
        <v>87</v>
      </c>
      <c r="E207" t="s">
        <v>17</v>
      </c>
      <c r="F207" t="s">
        <v>388</v>
      </c>
      <c r="G207" s="2"/>
      <c r="H207" t="s">
        <v>20</v>
      </c>
      <c r="L207" s="1" t="s">
        <v>382</v>
      </c>
      <c r="M207" t="str">
        <f>IF(Fields[[#This Row],[Reference Entity]]&lt;&gt;"","t" &amp;Fields[[#This Row],[Reference Entity]],"")</f>
        <v/>
      </c>
      <c r="N207" t="str">
        <f>IF(Fields[[#This Row],[Reference Entity]]&lt;&gt;"",RIGHT(Fields[[#This Row],[Column Name]],LEN(Fields[[#This Row],[Column Name]])-2),"")</f>
        <v/>
      </c>
      <c r="P207" s="1"/>
      <c r="R207"/>
      <c r="S207"/>
    </row>
    <row r="208" spans="1:22" x14ac:dyDescent="0.3">
      <c r="A208">
        <v>22</v>
      </c>
      <c r="B208" t="s">
        <v>639</v>
      </c>
      <c r="C208" t="s">
        <v>524</v>
      </c>
      <c r="D208" s="1" t="s">
        <v>568</v>
      </c>
      <c r="E208" t="s">
        <v>60</v>
      </c>
      <c r="F208" t="s">
        <v>234</v>
      </c>
      <c r="G208" s="2"/>
      <c r="L208" s="1" t="s">
        <v>382</v>
      </c>
      <c r="M208" t="str">
        <f>IF(Fields[[#This Row],[Reference Entity]]&lt;&gt;"","t" &amp;Fields[[#This Row],[Reference Entity]],"")</f>
        <v/>
      </c>
      <c r="N208" t="str">
        <f>IF(Fields[[#This Row],[Reference Entity]]&lt;&gt;"",RIGHT(Fields[[#This Row],[Column Name]],LEN(Fields[[#This Row],[Column Name]])-2),"")</f>
        <v/>
      </c>
      <c r="P208" s="1"/>
      <c r="R208"/>
      <c r="S208"/>
    </row>
    <row r="209" spans="1:22" ht="28.8" x14ac:dyDescent="0.3">
      <c r="A209">
        <v>23</v>
      </c>
      <c r="B209" t="s">
        <v>639</v>
      </c>
      <c r="C209" t="s">
        <v>499</v>
      </c>
      <c r="D209" s="1" t="s">
        <v>500</v>
      </c>
      <c r="E209" t="s">
        <v>488</v>
      </c>
      <c r="F209" t="s">
        <v>487</v>
      </c>
      <c r="G209" s="2"/>
      <c r="H209" t="s">
        <v>20</v>
      </c>
      <c r="L209" s="1" t="s">
        <v>347</v>
      </c>
      <c r="M209" t="str">
        <f>IF(Fields[[#This Row],[Reference Entity]]&lt;&gt;"","t" &amp;Fields[[#This Row],[Reference Entity]],"")</f>
        <v>tPlanParameter</v>
      </c>
      <c r="N209" t="str">
        <f>IF(Fields[[#This Row],[Reference Entity]]&lt;&gt;"",RIGHT(Fields[[#This Row],[Column Name]],LEN(Fields[[#This Row],[Column Name]])-2),"")</f>
        <v>ParContingencyRate</v>
      </c>
      <c r="P209" s="1"/>
      <c r="Q209" t="str">
        <f>Fields[[#This Row],[Column Name]]</f>
        <v>idParContingencyRate</v>
      </c>
      <c r="R209"/>
      <c r="S209"/>
      <c r="U209" t="s">
        <v>69</v>
      </c>
      <c r="V209" t="s">
        <v>469</v>
      </c>
    </row>
    <row r="210" spans="1:22" ht="72" x14ac:dyDescent="0.3">
      <c r="A210">
        <v>1</v>
      </c>
      <c r="B210" t="s">
        <v>697</v>
      </c>
      <c r="C210" t="s">
        <v>143</v>
      </c>
      <c r="D210" s="1" t="s">
        <v>144</v>
      </c>
      <c r="E210" t="s">
        <v>488</v>
      </c>
      <c r="F210" t="s">
        <v>487</v>
      </c>
      <c r="G210" s="2"/>
      <c r="L210" s="1" t="s">
        <v>346</v>
      </c>
      <c r="M210" t="str">
        <f>IF(Fields[[#This Row],[Reference Entity]]&lt;&gt;"","t" &amp;Fields[[#This Row],[Reference Entity]],"")</f>
        <v>tPlanElementInstance</v>
      </c>
      <c r="N210" t="str">
        <f>IF(Fields[[#This Row],[Reference Entity]]&lt;&gt;"",RIGHT(Fields[[#This Row],[Column Name]],LEN(Fields[[#This Row],[Column Name]])-2),"")</f>
        <v>PlanInstance</v>
      </c>
      <c r="O210" t="s">
        <v>142</v>
      </c>
      <c r="P210" s="1"/>
      <c r="Q210" t="str">
        <f>Fields[[#This Row],[Column Name]]</f>
        <v>idPlanInstance</v>
      </c>
      <c r="T210" s="1"/>
      <c r="U210" s="1"/>
      <c r="V210" t="s">
        <v>469</v>
      </c>
    </row>
    <row r="211" spans="1:22" ht="129.6" x14ac:dyDescent="0.3">
      <c r="A211">
        <v>2</v>
      </c>
      <c r="B211" t="s">
        <v>697</v>
      </c>
      <c r="C211" t="s">
        <v>460</v>
      </c>
      <c r="D211" s="1" t="s">
        <v>463</v>
      </c>
      <c r="E211" t="s">
        <v>488</v>
      </c>
      <c r="F211" t="s">
        <v>487</v>
      </c>
      <c r="G211" s="2"/>
      <c r="H211" t="s">
        <v>20</v>
      </c>
      <c r="L211" s="1" t="s">
        <v>450</v>
      </c>
      <c r="M211" t="str">
        <f>IF(Fields[[#This Row],[Reference Entity]]&lt;&gt;"","t" &amp;Fields[[#This Row],[Reference Entity]],"")</f>
        <v>tPlanInflationRule</v>
      </c>
      <c r="N211" t="str">
        <f>IF(Fields[[#This Row],[Reference Entity]]&lt;&gt;"",RIGHT(Fields[[#This Row],[Column Name]],LEN(Fields[[#This Row],[Column Name]])-2),"")</f>
        <v>InflationRule</v>
      </c>
      <c r="P211" s="1"/>
      <c r="Q211" t="str">
        <f>Fields[[#This Row],[Column Name]]</f>
        <v>idInflationRule</v>
      </c>
      <c r="T211" s="1"/>
      <c r="U211" s="1"/>
      <c r="V211" t="s">
        <v>469</v>
      </c>
    </row>
    <row r="212" spans="1:22" x14ac:dyDescent="0.3">
      <c r="A212">
        <v>3</v>
      </c>
      <c r="B212" t="s">
        <v>697</v>
      </c>
      <c r="C212" t="s">
        <v>647</v>
      </c>
      <c r="D212" s="1" t="s">
        <v>651</v>
      </c>
      <c r="E212" t="s">
        <v>488</v>
      </c>
      <c r="F212" t="s">
        <v>487</v>
      </c>
      <c r="G212" s="2"/>
      <c r="L212" s="1" t="s">
        <v>690</v>
      </c>
      <c r="M212" t="str">
        <f>IF(Fields[[#This Row],[Reference Entity]]&lt;&gt;"","t" &amp;Fields[[#This Row],[Reference Entity]],"")</f>
        <v>tPlanHRTariff</v>
      </c>
      <c r="N212" t="str">
        <f>IF(Fields[[#This Row],[Reference Entity]]&lt;&gt;"",RIGHT(Fields[[#This Row],[Column Name]],LEN(Fields[[#This Row],[Column Name]])-2),"")</f>
        <v>Tariff</v>
      </c>
      <c r="P212" s="1"/>
      <c r="Q212" t="str">
        <f>Fields[[#This Row],[Column Name]]</f>
        <v>idTariff</v>
      </c>
      <c r="T212" s="1"/>
      <c r="U212" s="1"/>
      <c r="V212" t="s">
        <v>469</v>
      </c>
    </row>
    <row r="213" spans="1:22" x14ac:dyDescent="0.3">
      <c r="A213">
        <v>4</v>
      </c>
      <c r="B213" t="s">
        <v>697</v>
      </c>
      <c r="C213" t="s">
        <v>707</v>
      </c>
      <c r="D213" s="1" t="s">
        <v>652</v>
      </c>
      <c r="E213" t="s">
        <v>488</v>
      </c>
      <c r="F213" t="s">
        <v>487</v>
      </c>
      <c r="G213" s="2"/>
      <c r="L213" s="1" t="s">
        <v>708</v>
      </c>
      <c r="M213" t="str">
        <f>IF(Fields[[#This Row],[Reference Entity]]&lt;&gt;"","t" &amp;Fields[[#This Row],[Reference Entity]],"")</f>
        <v>tPlanHRExpenseGroup</v>
      </c>
      <c r="N213" t="str">
        <f>IF(Fields[[#This Row],[Reference Entity]]&lt;&gt;"",RIGHT(Fields[[#This Row],[Column Name]],LEN(Fields[[#This Row],[Column Name]])-2),"")</f>
        <v>ExpenseGroup</v>
      </c>
      <c r="P213" s="1"/>
      <c r="Q213" t="str">
        <f>Fields[[#This Row],[Column Name]]</f>
        <v>idExpenseGroup</v>
      </c>
      <c r="T213" s="1"/>
      <c r="U213" s="1"/>
      <c r="V213" t="s">
        <v>469</v>
      </c>
    </row>
    <row r="214" spans="1:22" x14ac:dyDescent="0.3">
      <c r="A214">
        <v>5</v>
      </c>
      <c r="B214" t="s">
        <v>697</v>
      </c>
      <c r="C214" t="s">
        <v>648</v>
      </c>
      <c r="D214" s="1" t="s">
        <v>653</v>
      </c>
      <c r="E214" t="s">
        <v>19</v>
      </c>
      <c r="F214" t="s">
        <v>239</v>
      </c>
      <c r="G214" s="2">
        <v>50</v>
      </c>
      <c r="H214" t="s">
        <v>20</v>
      </c>
      <c r="L214" s="1"/>
      <c r="M214" t="str">
        <f>IF(Fields[[#This Row],[Reference Entity]]&lt;&gt;"","t" &amp;Fields[[#This Row],[Reference Entity]],"")</f>
        <v/>
      </c>
      <c r="P214" s="1"/>
      <c r="T214" s="1"/>
      <c r="U214" s="1"/>
      <c r="V214" t="s">
        <v>469</v>
      </c>
    </row>
    <row r="215" spans="1:22" x14ac:dyDescent="0.3">
      <c r="A215">
        <v>6</v>
      </c>
      <c r="B215" t="s">
        <v>697</v>
      </c>
      <c r="C215" t="s">
        <v>650</v>
      </c>
      <c r="D215" s="1" t="s">
        <v>654</v>
      </c>
      <c r="E215" t="s">
        <v>19</v>
      </c>
      <c r="F215" t="s">
        <v>239</v>
      </c>
      <c r="G215" s="2">
        <v>50</v>
      </c>
      <c r="H215" t="s">
        <v>20</v>
      </c>
      <c r="L215" s="1"/>
      <c r="M215" t="str">
        <f>IF(Fields[[#This Row],[Reference Entity]]&lt;&gt;"","t" &amp;Fields[[#This Row],[Reference Entity]],"")</f>
        <v/>
      </c>
      <c r="P215" s="1"/>
      <c r="T215" s="1"/>
      <c r="U215" s="1"/>
      <c r="V215" t="s">
        <v>469</v>
      </c>
    </row>
    <row r="216" spans="1:22" x14ac:dyDescent="0.3">
      <c r="A216">
        <v>1</v>
      </c>
      <c r="B216" t="s">
        <v>117</v>
      </c>
      <c r="C216" t="s">
        <v>59</v>
      </c>
      <c r="D216" s="1" t="s">
        <v>140</v>
      </c>
      <c r="E216" t="s">
        <v>488</v>
      </c>
      <c r="F216" t="s">
        <v>487</v>
      </c>
      <c r="G216" s="2"/>
      <c r="L216" s="1" t="s">
        <v>343</v>
      </c>
      <c r="M216" t="str">
        <f>IF(Fields[[#This Row],[Reference Entity]]&lt;&gt;"","t" &amp;Fields[[#This Row],[Reference Entity]],"")</f>
        <v>tPlanElement</v>
      </c>
      <c r="N216" t="str">
        <f>IF(Fields[[#This Row],[Reference Entity]]&lt;&gt;"",RIGHT(Fields[[#This Row],[Column Name]],LEN(Fields[[#This Row],[Column Name]])-2),"")</f>
        <v>PlanElement</v>
      </c>
      <c r="P216" s="1"/>
      <c r="Q216" t="str">
        <f>Fields[[#This Row],[Column Name]]</f>
        <v>idPlanElement</v>
      </c>
      <c r="R216"/>
      <c r="S216"/>
      <c r="V216" s="1"/>
    </row>
    <row r="217" spans="1:22" x14ac:dyDescent="0.3">
      <c r="A217">
        <v>2</v>
      </c>
      <c r="B217" t="s">
        <v>117</v>
      </c>
      <c r="C217" t="s">
        <v>53</v>
      </c>
      <c r="D217" s="1" t="s">
        <v>423</v>
      </c>
      <c r="E217" t="s">
        <v>488</v>
      </c>
      <c r="F217" t="s">
        <v>487</v>
      </c>
      <c r="G217" s="2"/>
      <c r="L217" s="1" t="s">
        <v>342</v>
      </c>
      <c r="M217" t="str">
        <f>IF(Fields[[#This Row],[Reference Entity]]&lt;&gt;"","t" &amp;Fields[[#This Row],[Reference Entity]],"")</f>
        <v>tPlan</v>
      </c>
      <c r="N217" t="str">
        <f>IF(Fields[[#This Row],[Reference Entity]]&lt;&gt;"",RIGHT(Fields[[#This Row],[Column Name]],LEN(Fields[[#This Row],[Column Name]])-2),"")</f>
        <v>Plan</v>
      </c>
      <c r="O217" t="s">
        <v>142</v>
      </c>
      <c r="P217" s="1"/>
      <c r="Q217" t="str">
        <f>Fields[[#This Row],[Column Name]]</f>
        <v>idPlan</v>
      </c>
      <c r="R217"/>
      <c r="S217"/>
      <c r="V217" s="1"/>
    </row>
    <row r="218" spans="1:22" x14ac:dyDescent="0.3">
      <c r="A218">
        <v>3</v>
      </c>
      <c r="B218" t="s">
        <v>117</v>
      </c>
      <c r="C218" t="s">
        <v>728</v>
      </c>
      <c r="D218" s="1"/>
      <c r="E218" t="s">
        <v>18</v>
      </c>
      <c r="F218" t="s">
        <v>6</v>
      </c>
      <c r="G218" s="2"/>
      <c r="I218">
        <v>0</v>
      </c>
      <c r="L218" s="1"/>
      <c r="M218" t="str">
        <f>IF(Fields[[#This Row],[Reference Entity]]&lt;&gt;"","t" &amp;Fields[[#This Row],[Reference Entity]],"")</f>
        <v/>
      </c>
      <c r="P218" s="1"/>
      <c r="R218"/>
      <c r="S218"/>
      <c r="V218" s="1"/>
    </row>
    <row r="219" spans="1:22" ht="28.8" x14ac:dyDescent="0.3">
      <c r="A219">
        <v>4</v>
      </c>
      <c r="B219" t="s">
        <v>117</v>
      </c>
      <c r="C219" s="7" t="s">
        <v>520</v>
      </c>
      <c r="D219" s="1" t="s">
        <v>47</v>
      </c>
      <c r="E219" t="s">
        <v>18</v>
      </c>
      <c r="F219" t="s">
        <v>6</v>
      </c>
      <c r="G219" s="2"/>
      <c r="I219">
        <v>0</v>
      </c>
      <c r="L219" s="1" t="s">
        <v>382</v>
      </c>
      <c r="M219" t="str">
        <f>IF(Fields[[#This Row],[Reference Entity]]&lt;&gt;"","t" &amp;Fields[[#This Row],[Reference Entity]],"")</f>
        <v/>
      </c>
      <c r="N219" t="str">
        <f>IF(Fields[[#This Row],[Reference Entity]]&lt;&gt;"",RIGHT(Fields[[#This Row],[Column Name]],LEN(Fields[[#This Row],[Column Name]])-2),"")</f>
        <v/>
      </c>
      <c r="P219" s="1" t="s">
        <v>49</v>
      </c>
      <c r="T219" s="1"/>
      <c r="U219" s="1"/>
      <c r="V219" t="s">
        <v>469</v>
      </c>
    </row>
    <row r="220" spans="1:22" ht="28.8" x14ac:dyDescent="0.3">
      <c r="A220">
        <v>5</v>
      </c>
      <c r="B220" t="s">
        <v>117</v>
      </c>
      <c r="C220" s="7" t="s">
        <v>70</v>
      </c>
      <c r="D220" s="1" t="s">
        <v>76</v>
      </c>
      <c r="E220" t="s">
        <v>18</v>
      </c>
      <c r="F220" t="s">
        <v>6</v>
      </c>
      <c r="G220" s="2"/>
      <c r="I220">
        <v>1</v>
      </c>
      <c r="L220" s="1" t="s">
        <v>382</v>
      </c>
      <c r="M220" t="str">
        <f>IF(Fields[[#This Row],[Reference Entity]]&lt;&gt;"","t" &amp;Fields[[#This Row],[Reference Entity]],"")</f>
        <v/>
      </c>
      <c r="N220" t="str">
        <f>IF(Fields[[#This Row],[Reference Entity]]&lt;&gt;"",RIGHT(Fields[[#This Row],[Column Name]],LEN(Fields[[#This Row],[Column Name]])-2),"")</f>
        <v/>
      </c>
      <c r="P220" s="1"/>
      <c r="T220" s="1"/>
      <c r="U220" s="1"/>
      <c r="V220" t="s">
        <v>469</v>
      </c>
    </row>
    <row r="221" spans="1:22" ht="43.2" x14ac:dyDescent="0.3">
      <c r="A221">
        <v>6</v>
      </c>
      <c r="B221" t="s">
        <v>117</v>
      </c>
      <c r="C221" s="7" t="s">
        <v>80</v>
      </c>
      <c r="D221" s="1" t="s">
        <v>77</v>
      </c>
      <c r="E221" t="s">
        <v>30</v>
      </c>
      <c r="F221" t="s">
        <v>4</v>
      </c>
      <c r="G221" s="2"/>
      <c r="I221">
        <v>0</v>
      </c>
      <c r="L221" s="1" t="s">
        <v>382</v>
      </c>
      <c r="M221" t="str">
        <f>IF(Fields[[#This Row],[Reference Entity]]&lt;&gt;"","t" &amp;Fields[[#This Row],[Reference Entity]],"")</f>
        <v/>
      </c>
      <c r="N221" t="str">
        <f>IF(Fields[[#This Row],[Reference Entity]]&lt;&gt;"",RIGHT(Fields[[#This Row],[Column Name]],LEN(Fields[[#This Row],[Column Name]])-2),"")</f>
        <v/>
      </c>
      <c r="P221" s="1"/>
      <c r="T221" s="1"/>
      <c r="U221" s="1"/>
      <c r="V221" t="s">
        <v>469</v>
      </c>
    </row>
    <row r="222" spans="1:22" x14ac:dyDescent="0.3">
      <c r="A222">
        <v>7</v>
      </c>
      <c r="B222" t="s">
        <v>117</v>
      </c>
      <c r="C222" s="7" t="s">
        <v>81</v>
      </c>
      <c r="D222" s="1" t="s">
        <v>83</v>
      </c>
      <c r="E222" t="s">
        <v>30</v>
      </c>
      <c r="F222" t="s">
        <v>4</v>
      </c>
      <c r="G222" s="2"/>
      <c r="I222">
        <v>0</v>
      </c>
      <c r="L222" s="1" t="s">
        <v>382</v>
      </c>
      <c r="M222" t="str">
        <f>IF(Fields[[#This Row],[Reference Entity]]&lt;&gt;"","t" &amp;Fields[[#This Row],[Reference Entity]],"")</f>
        <v/>
      </c>
      <c r="N222" t="str">
        <f>IF(Fields[[#This Row],[Reference Entity]]&lt;&gt;"",RIGHT(Fields[[#This Row],[Column Name]],LEN(Fields[[#This Row],[Column Name]])-2),"")</f>
        <v/>
      </c>
      <c r="P222" s="1"/>
      <c r="T222" s="1"/>
      <c r="U222" s="1"/>
      <c r="V222" t="s">
        <v>469</v>
      </c>
    </row>
    <row r="223" spans="1:22" x14ac:dyDescent="0.3">
      <c r="A223">
        <v>8</v>
      </c>
      <c r="B223" t="s">
        <v>117</v>
      </c>
      <c r="C223" s="7" t="s">
        <v>82</v>
      </c>
      <c r="D223" s="1" t="s">
        <v>83</v>
      </c>
      <c r="E223" t="s">
        <v>30</v>
      </c>
      <c r="F223" t="s">
        <v>4</v>
      </c>
      <c r="G223" s="2"/>
      <c r="I223">
        <v>0</v>
      </c>
      <c r="L223" s="1" t="s">
        <v>382</v>
      </c>
      <c r="M223" t="str">
        <f>IF(Fields[[#This Row],[Reference Entity]]&lt;&gt;"","t" &amp;Fields[[#This Row],[Reference Entity]],"")</f>
        <v/>
      </c>
      <c r="N223" t="str">
        <f>IF(Fields[[#This Row],[Reference Entity]]&lt;&gt;"",RIGHT(Fields[[#This Row],[Column Name]],LEN(Fields[[#This Row],[Column Name]])-2),"")</f>
        <v/>
      </c>
      <c r="P223" s="1"/>
      <c r="T223" s="1"/>
      <c r="U223" s="1"/>
      <c r="V223" t="s">
        <v>469</v>
      </c>
    </row>
    <row r="224" spans="1:22" ht="28.8" x14ac:dyDescent="0.3">
      <c r="A224">
        <v>9</v>
      </c>
      <c r="B224" t="s">
        <v>117</v>
      </c>
      <c r="C224" s="7" t="s">
        <v>521</v>
      </c>
      <c r="D224" s="1" t="s">
        <v>443</v>
      </c>
      <c r="E224" t="s">
        <v>30</v>
      </c>
      <c r="F224" t="s">
        <v>4</v>
      </c>
      <c r="G224" s="2"/>
      <c r="H224" t="s">
        <v>20</v>
      </c>
      <c r="L224" s="1" t="s">
        <v>382</v>
      </c>
      <c r="M224" t="str">
        <f>IF(Fields[[#This Row],[Reference Entity]]&lt;&gt;"","t" &amp;Fields[[#This Row],[Reference Entity]],"")</f>
        <v/>
      </c>
      <c r="N224" t="str">
        <f>IF(Fields[[#This Row],[Reference Entity]]&lt;&gt;"",RIGHT(Fields[[#This Row],[Column Name]],LEN(Fields[[#This Row],[Column Name]])-2),"")</f>
        <v/>
      </c>
      <c r="P224" s="1"/>
      <c r="T224" s="1"/>
      <c r="U224" s="1"/>
      <c r="V224" t="s">
        <v>469</v>
      </c>
    </row>
    <row r="225" spans="1:22" x14ac:dyDescent="0.3">
      <c r="A225">
        <v>10</v>
      </c>
      <c r="B225" t="s">
        <v>117</v>
      </c>
      <c r="C225" s="7" t="s">
        <v>522</v>
      </c>
      <c r="D225" s="1" t="s">
        <v>78</v>
      </c>
      <c r="E225" t="s">
        <v>30</v>
      </c>
      <c r="F225" t="s">
        <v>4</v>
      </c>
      <c r="G225" s="2"/>
      <c r="H225" t="s">
        <v>20</v>
      </c>
      <c r="L225" s="1" t="s">
        <v>382</v>
      </c>
      <c r="M225" t="str">
        <f>IF(Fields[[#This Row],[Reference Entity]]&lt;&gt;"","t" &amp;Fields[[#This Row],[Reference Entity]],"")</f>
        <v/>
      </c>
      <c r="N225" t="str">
        <f>IF(Fields[[#This Row],[Reference Entity]]&lt;&gt;"",RIGHT(Fields[[#This Row],[Column Name]],LEN(Fields[[#This Row],[Column Name]])-2),"")</f>
        <v/>
      </c>
      <c r="P225" s="1"/>
      <c r="T225" s="1"/>
      <c r="U225" s="1"/>
      <c r="V225" t="s">
        <v>469</v>
      </c>
    </row>
    <row r="226" spans="1:22" x14ac:dyDescent="0.3">
      <c r="A226">
        <v>11</v>
      </c>
      <c r="B226" t="s">
        <v>117</v>
      </c>
      <c r="C226" s="7" t="s">
        <v>523</v>
      </c>
      <c r="D226" s="1" t="s">
        <v>78</v>
      </c>
      <c r="E226" t="s">
        <v>30</v>
      </c>
      <c r="F226" t="s">
        <v>4</v>
      </c>
      <c r="G226" s="2"/>
      <c r="H226" t="s">
        <v>20</v>
      </c>
      <c r="L226" s="1" t="s">
        <v>382</v>
      </c>
      <c r="M226" t="str">
        <f>IF(Fields[[#This Row],[Reference Entity]]&lt;&gt;"","t" &amp;Fields[[#This Row],[Reference Entity]],"")</f>
        <v/>
      </c>
      <c r="N226" t="str">
        <f>IF(Fields[[#This Row],[Reference Entity]]&lt;&gt;"",RIGHT(Fields[[#This Row],[Column Name]],LEN(Fields[[#This Row],[Column Name]])-2),"")</f>
        <v/>
      </c>
      <c r="P226" s="1"/>
      <c r="T226" s="1"/>
      <c r="U226" s="1"/>
      <c r="V226" t="s">
        <v>469</v>
      </c>
    </row>
    <row r="227" spans="1:22" x14ac:dyDescent="0.3">
      <c r="A227">
        <v>12</v>
      </c>
      <c r="B227" t="s">
        <v>117</v>
      </c>
      <c r="C227" s="7" t="s">
        <v>525</v>
      </c>
      <c r="D227" s="1" t="s">
        <v>75</v>
      </c>
      <c r="E227" t="s">
        <v>488</v>
      </c>
      <c r="F227" t="s">
        <v>487</v>
      </c>
      <c r="G227" s="2"/>
      <c r="H227" t="s">
        <v>20</v>
      </c>
      <c r="L227" s="1" t="s">
        <v>347</v>
      </c>
      <c r="M227" t="str">
        <f>IF(Fields[[#This Row],[Reference Entity]]&lt;&gt;"","t" &amp;Fields[[#This Row],[Reference Entity]],"")</f>
        <v>tPlanParameter</v>
      </c>
      <c r="N227" t="str">
        <f>IF(Fields[[#This Row],[Reference Entity]]&lt;&gt;"",RIGHT(Fields[[#This Row],[Column Name]],LEN(Fields[[#This Row],[Column Name]])-2),"")</f>
        <v>ParTriggerDueDate</v>
      </c>
      <c r="P227" s="1"/>
      <c r="Q227" t="str">
        <f>Fields[[#This Row],[Column Name]]</f>
        <v>idParTriggerDueDate</v>
      </c>
      <c r="T227" s="1"/>
      <c r="U227" s="1" t="s">
        <v>378</v>
      </c>
      <c r="V227" t="s">
        <v>469</v>
      </c>
    </row>
    <row r="228" spans="1:22" ht="28.8" x14ac:dyDescent="0.3">
      <c r="A228">
        <v>13</v>
      </c>
      <c r="B228" t="s">
        <v>117</v>
      </c>
      <c r="C228" s="7" t="s">
        <v>61</v>
      </c>
      <c r="D228" s="1" t="s">
        <v>88</v>
      </c>
      <c r="E228" t="s">
        <v>45</v>
      </c>
      <c r="F228" t="s">
        <v>239</v>
      </c>
      <c r="G228" s="2" t="s">
        <v>238</v>
      </c>
      <c r="H228" t="s">
        <v>20</v>
      </c>
      <c r="L228" s="1" t="s">
        <v>382</v>
      </c>
      <c r="M228" t="str">
        <f>IF(Fields[[#This Row],[Reference Entity]]&lt;&gt;"","t" &amp;Fields[[#This Row],[Reference Entity]],"")</f>
        <v/>
      </c>
      <c r="N228" t="str">
        <f>IF(Fields[[#This Row],[Reference Entity]]&lt;&gt;"",RIGHT(Fields[[#This Row],[Column Name]],LEN(Fields[[#This Row],[Column Name]])-2),"")</f>
        <v/>
      </c>
      <c r="P228" s="1"/>
      <c r="T228" s="1"/>
      <c r="U228" s="1"/>
      <c r="V228" t="s">
        <v>469</v>
      </c>
    </row>
    <row r="229" spans="1:22" x14ac:dyDescent="0.3">
      <c r="A229">
        <v>14</v>
      </c>
      <c r="B229" t="s">
        <v>117</v>
      </c>
      <c r="C229" s="7" t="s">
        <v>62</v>
      </c>
      <c r="D229" s="1" t="s">
        <v>89</v>
      </c>
      <c r="E229" t="s">
        <v>45</v>
      </c>
      <c r="F229" t="s">
        <v>239</v>
      </c>
      <c r="G229" s="2" t="s">
        <v>238</v>
      </c>
      <c r="H229" t="s">
        <v>20</v>
      </c>
      <c r="L229" s="1" t="s">
        <v>382</v>
      </c>
      <c r="M229" t="str">
        <f>IF(Fields[[#This Row],[Reference Entity]]&lt;&gt;"","t" &amp;Fields[[#This Row],[Reference Entity]],"")</f>
        <v/>
      </c>
      <c r="N229" t="str">
        <f>IF(Fields[[#This Row],[Reference Entity]]&lt;&gt;"",RIGHT(Fields[[#This Row],[Column Name]],LEN(Fields[[#This Row],[Column Name]])-2),"")</f>
        <v/>
      </c>
      <c r="P229" s="1"/>
      <c r="T229" s="1"/>
      <c r="U229" s="1"/>
      <c r="V229" t="s">
        <v>469</v>
      </c>
    </row>
    <row r="230" spans="1:22" x14ac:dyDescent="0.3">
      <c r="A230">
        <v>1</v>
      </c>
      <c r="B230" t="s">
        <v>15</v>
      </c>
      <c r="C230" t="s">
        <v>29</v>
      </c>
      <c r="D230" s="1" t="s">
        <v>32</v>
      </c>
      <c r="E230" t="s">
        <v>30</v>
      </c>
      <c r="F230" t="s">
        <v>4</v>
      </c>
      <c r="G230" s="2"/>
      <c r="L230" s="1" t="s">
        <v>382</v>
      </c>
      <c r="M230" t="str">
        <f>IF(Fields[[#This Row],[Reference Entity]]&lt;&gt;"","t" &amp;Fields[[#This Row],[Reference Entity]],"")</f>
        <v/>
      </c>
      <c r="N230" t="str">
        <f>IF(Fields[[#This Row],[Reference Entity]]&lt;&gt;"",RIGHT(Fields[[#This Row],[Column Name]],LEN(Fields[[#This Row],[Column Name]])-2),"")</f>
        <v/>
      </c>
      <c r="P230" s="1"/>
      <c r="R230"/>
      <c r="S230"/>
    </row>
    <row r="231" spans="1:22" x14ac:dyDescent="0.3">
      <c r="A231">
        <v>2</v>
      </c>
      <c r="B231" t="s">
        <v>15</v>
      </c>
      <c r="C231" t="s">
        <v>448</v>
      </c>
      <c r="D231" s="1" t="s">
        <v>33</v>
      </c>
      <c r="E231" t="s">
        <v>19</v>
      </c>
      <c r="F231" t="s">
        <v>239</v>
      </c>
      <c r="G231" s="2">
        <v>20</v>
      </c>
      <c r="L231" s="1" t="s">
        <v>382</v>
      </c>
      <c r="M231" t="str">
        <f>IF(Fields[[#This Row],[Reference Entity]]&lt;&gt;"","t" &amp;Fields[[#This Row],[Reference Entity]],"")</f>
        <v/>
      </c>
      <c r="N231" t="str">
        <f>IF(Fields[[#This Row],[Reference Entity]]&lt;&gt;"",RIGHT(Fields[[#This Row],[Column Name]],LEN(Fields[[#This Row],[Column Name]])-2),"")</f>
        <v/>
      </c>
      <c r="P231" s="1"/>
      <c r="R231"/>
      <c r="S231"/>
      <c r="V231" t="s">
        <v>449</v>
      </c>
    </row>
    <row r="232" spans="1:22" x14ac:dyDescent="0.3">
      <c r="A232">
        <v>1</v>
      </c>
      <c r="B232" t="s">
        <v>40</v>
      </c>
      <c r="C232" t="s">
        <v>5</v>
      </c>
      <c r="D232" s="1" t="s">
        <v>10</v>
      </c>
      <c r="E232" t="s">
        <v>488</v>
      </c>
      <c r="F232" t="s">
        <v>487</v>
      </c>
      <c r="G232" s="2"/>
      <c r="L232" s="1" t="s">
        <v>147</v>
      </c>
      <c r="M232" t="str">
        <f>IF(Fields[[#This Row],[Reference Entity]]&lt;&gt;"","t" &amp;Fields[[#This Row],[Reference Entity]],"")</f>
        <v>tClient</v>
      </c>
      <c r="N232" t="str">
        <f>IF(Fields[[#This Row],[Reference Entity]]&lt;&gt;"",RIGHT(Fields[[#This Row],[Column Name]],LEN(Fields[[#This Row],[Column Name]])-2),"")</f>
        <v>Client</v>
      </c>
      <c r="O232" t="s">
        <v>142</v>
      </c>
      <c r="P232" s="1"/>
      <c r="Q232" t="str">
        <f>Fields[[#This Row],[Column Name]]</f>
        <v>idClient</v>
      </c>
      <c r="R232"/>
      <c r="S232"/>
    </row>
    <row r="233" spans="1:22" x14ac:dyDescent="0.3">
      <c r="A233">
        <v>2</v>
      </c>
      <c r="B233" t="s">
        <v>40</v>
      </c>
      <c r="C233" t="s">
        <v>310</v>
      </c>
      <c r="D233" s="1" t="s">
        <v>43</v>
      </c>
      <c r="E233" t="s">
        <v>19</v>
      </c>
      <c r="F233" t="s">
        <v>239</v>
      </c>
      <c r="G233" s="2">
        <v>30</v>
      </c>
      <c r="L233" s="1" t="s">
        <v>382</v>
      </c>
      <c r="M233" t="str">
        <f>IF(Fields[[#This Row],[Reference Entity]]&lt;&gt;"","t" &amp;Fields[[#This Row],[Reference Entity]],"")</f>
        <v/>
      </c>
      <c r="N233" t="str">
        <f>IF(Fields[[#This Row],[Reference Entity]]&lt;&gt;"",RIGHT(Fields[[#This Row],[Column Name]],LEN(Fields[[#This Row],[Column Name]])-2),"")</f>
        <v/>
      </c>
      <c r="P233" s="1"/>
      <c r="R233"/>
      <c r="S233"/>
    </row>
    <row r="234" spans="1:22" x14ac:dyDescent="0.3">
      <c r="A234">
        <v>3</v>
      </c>
      <c r="B234" t="s">
        <v>40</v>
      </c>
      <c r="C234" t="s">
        <v>570</v>
      </c>
      <c r="D234" s="1"/>
      <c r="E234" t="s">
        <v>19</v>
      </c>
      <c r="F234" t="s">
        <v>239</v>
      </c>
      <c r="G234" s="2">
        <v>30</v>
      </c>
      <c r="H234" t="s">
        <v>20</v>
      </c>
      <c r="L234" s="1"/>
      <c r="M234" t="str">
        <f>IF(Fields[[#This Row],[Reference Entity]]&lt;&gt;"","t" &amp;Fields[[#This Row],[Reference Entity]],"")</f>
        <v/>
      </c>
      <c r="P234" s="1"/>
      <c r="R234"/>
      <c r="S234"/>
    </row>
    <row r="235" spans="1:22" x14ac:dyDescent="0.3">
      <c r="A235">
        <v>4</v>
      </c>
      <c r="B235" t="s">
        <v>40</v>
      </c>
      <c r="C235" t="s">
        <v>581</v>
      </c>
      <c r="D235" s="1" t="s">
        <v>569</v>
      </c>
      <c r="E235" t="s">
        <v>45</v>
      </c>
      <c r="F235" t="s">
        <v>239</v>
      </c>
      <c r="G235" s="2" t="s">
        <v>238</v>
      </c>
      <c r="H235" t="s">
        <v>20</v>
      </c>
      <c r="L235" s="1"/>
      <c r="M235" t="str">
        <f>IF(Fields[[#This Row],[Reference Entity]]&lt;&gt;"","t" &amp;Fields[[#This Row],[Reference Entity]],"")</f>
        <v/>
      </c>
      <c r="P235" s="1"/>
      <c r="R235"/>
      <c r="S235"/>
    </row>
    <row r="236" spans="1:22" ht="28.8" x14ac:dyDescent="0.3">
      <c r="A236">
        <v>1</v>
      </c>
      <c r="B236" t="s">
        <v>695</v>
      </c>
      <c r="C236" t="s">
        <v>707</v>
      </c>
      <c r="D236" s="1" t="s">
        <v>689</v>
      </c>
      <c r="E236" t="s">
        <v>488</v>
      </c>
      <c r="F236" t="s">
        <v>487</v>
      </c>
      <c r="G236" s="2"/>
      <c r="L236" s="1" t="s">
        <v>708</v>
      </c>
      <c r="M236" t="str">
        <f>IF(Fields[[#This Row],[Reference Entity]]&lt;&gt;"","t" &amp;Fields[[#This Row],[Reference Entity]],"")</f>
        <v>tPlanHRExpenseGroup</v>
      </c>
      <c r="N236" t="str">
        <f>IF(Fields[[#This Row],[Reference Entity]]&lt;&gt;"",RIGHT(Fields[[#This Row],[Column Name]],LEN(Fields[[#This Row],[Column Name]])-2),"")</f>
        <v>ExpenseGroup</v>
      </c>
      <c r="P236" s="1"/>
      <c r="T236" s="1"/>
      <c r="U236" s="1"/>
    </row>
    <row r="237" spans="1:22" x14ac:dyDescent="0.3">
      <c r="A237">
        <v>2</v>
      </c>
      <c r="B237" t="s">
        <v>695</v>
      </c>
      <c r="C237" t="s">
        <v>281</v>
      </c>
      <c r="D237" s="1" t="s">
        <v>710</v>
      </c>
      <c r="E237" t="s">
        <v>17</v>
      </c>
      <c r="F237" t="s">
        <v>388</v>
      </c>
      <c r="G237" s="2"/>
      <c r="H237" t="s">
        <v>20</v>
      </c>
      <c r="L237" s="1"/>
      <c r="M237" t="str">
        <f>IF(Fields[[#This Row],[Reference Entity]]&lt;&gt;"","t" &amp;Fields[[#This Row],[Reference Entity]],"")</f>
        <v/>
      </c>
      <c r="P237" s="1"/>
      <c r="T237" s="1"/>
      <c r="U237" s="1"/>
    </row>
    <row r="238" spans="1:22" x14ac:dyDescent="0.3">
      <c r="A238">
        <v>3</v>
      </c>
      <c r="B238" t="s">
        <v>695</v>
      </c>
      <c r="C238" t="s">
        <v>711</v>
      </c>
      <c r="D238" s="1" t="s">
        <v>712</v>
      </c>
      <c r="E238" t="s">
        <v>19</v>
      </c>
      <c r="F238" t="s">
        <v>239</v>
      </c>
      <c r="G238" s="2">
        <v>50</v>
      </c>
      <c r="L238" s="1"/>
      <c r="M238" t="str">
        <f>IF(Fields[[#This Row],[Reference Entity]]&lt;&gt;"","t" &amp;Fields[[#This Row],[Reference Entity]],"")</f>
        <v/>
      </c>
      <c r="P238" s="1"/>
      <c r="T238" s="1"/>
      <c r="U238" s="1"/>
    </row>
    <row r="239" spans="1:22" x14ac:dyDescent="0.3">
      <c r="A239">
        <v>4</v>
      </c>
      <c r="B239" t="s">
        <v>695</v>
      </c>
      <c r="C239" t="s">
        <v>713</v>
      </c>
      <c r="D239" s="1" t="s">
        <v>714</v>
      </c>
      <c r="E239" t="s">
        <v>488</v>
      </c>
      <c r="F239" t="s">
        <v>487</v>
      </c>
      <c r="G239" s="2"/>
      <c r="J239" s="1"/>
      <c r="L239" s="1" t="s">
        <v>335</v>
      </c>
      <c r="M239" t="str">
        <f>IF(Fields[[#This Row],[Reference Entity]]&lt;&gt;"","t" &amp;Fields[[#This Row],[Reference Entity]],"")</f>
        <v>tAccount</v>
      </c>
      <c r="N239" t="str">
        <f>IF(Fields[[#This Row],[Reference Entity]]&lt;&gt;"",RIGHT(Fields[[#This Row],[Column Name]],LEN(Fields[[#This Row],[Column Name]])-2),"")</f>
        <v>AccountExpense</v>
      </c>
      <c r="P239" s="1"/>
      <c r="Q239" t="str">
        <f>Fields[[#This Row],[Column Name]]</f>
        <v>idAccountExpense</v>
      </c>
      <c r="T239" s="1"/>
      <c r="U239" s="1"/>
    </row>
    <row r="240" spans="1:22" ht="28.8" x14ac:dyDescent="0.3">
      <c r="A240">
        <v>5</v>
      </c>
      <c r="B240" t="s">
        <v>695</v>
      </c>
      <c r="C240" t="s">
        <v>810</v>
      </c>
      <c r="D240" s="1" t="s">
        <v>811</v>
      </c>
      <c r="E240" t="s">
        <v>488</v>
      </c>
      <c r="F240" t="s">
        <v>487</v>
      </c>
      <c r="G240" s="2"/>
      <c r="H240" t="s">
        <v>20</v>
      </c>
      <c r="J240" s="1"/>
      <c r="L240" s="1" t="s">
        <v>337</v>
      </c>
      <c r="M240" t="str">
        <f>IF(Fields[[#This Row],[Reference Entity]]&lt;&gt;"","t" &amp;Fields[[#This Row],[Reference Entity]],"")</f>
        <v>tCostCenter</v>
      </c>
      <c r="N240" t="s">
        <v>812</v>
      </c>
      <c r="P240" s="1"/>
      <c r="T240" s="1"/>
      <c r="U240" s="1"/>
    </row>
    <row r="241" spans="1:21" x14ac:dyDescent="0.3">
      <c r="A241">
        <v>6</v>
      </c>
      <c r="B241" t="s">
        <v>695</v>
      </c>
      <c r="C241" t="s">
        <v>715</v>
      </c>
      <c r="D241" s="1" t="s">
        <v>716</v>
      </c>
      <c r="E241" t="s">
        <v>60</v>
      </c>
      <c r="F241" t="s">
        <v>234</v>
      </c>
      <c r="G241" s="2"/>
      <c r="I241">
        <v>0</v>
      </c>
      <c r="L241" s="1"/>
      <c r="M241" t="str">
        <f>IF(Fields[[#This Row],[Reference Entity]]&lt;&gt;"","t" &amp;Fields[[#This Row],[Reference Entity]],"")</f>
        <v/>
      </c>
      <c r="P241" s="1"/>
      <c r="T241" s="1"/>
      <c r="U241" s="1"/>
    </row>
    <row r="242" spans="1:21" ht="28.8" x14ac:dyDescent="0.3">
      <c r="A242">
        <v>7</v>
      </c>
      <c r="B242" t="s">
        <v>695</v>
      </c>
      <c r="C242" t="s">
        <v>717</v>
      </c>
      <c r="D242" s="1" t="s">
        <v>718</v>
      </c>
      <c r="E242" t="s">
        <v>60</v>
      </c>
      <c r="F242" t="s">
        <v>234</v>
      </c>
      <c r="G242" s="2"/>
      <c r="I242">
        <v>0</v>
      </c>
      <c r="L242" s="1"/>
      <c r="M242" t="str">
        <f>IF(Fields[[#This Row],[Reference Entity]]&lt;&gt;"","t" &amp;Fields[[#This Row],[Reference Entity]],"")</f>
        <v/>
      </c>
      <c r="P242" s="1"/>
      <c r="T242" s="1"/>
      <c r="U242" s="1"/>
    </row>
    <row r="243" spans="1:21" x14ac:dyDescent="0.3">
      <c r="A243">
        <v>8</v>
      </c>
      <c r="B243" t="s">
        <v>695</v>
      </c>
      <c r="C243" t="s">
        <v>734</v>
      </c>
      <c r="D243" s="1"/>
      <c r="E243" t="s">
        <v>60</v>
      </c>
      <c r="F243" t="s">
        <v>234</v>
      </c>
      <c r="G243" s="2"/>
      <c r="I243">
        <v>0</v>
      </c>
      <c r="L243" s="1"/>
      <c r="M243" t="str">
        <f>IF(Fields[[#This Row],[Reference Entity]]&lt;&gt;"","t" &amp;Fields[[#This Row],[Reference Entity]],"")</f>
        <v/>
      </c>
      <c r="P243" s="1"/>
      <c r="T243" s="1"/>
      <c r="U243" s="1"/>
    </row>
    <row r="244" spans="1:21" ht="28.8" x14ac:dyDescent="0.3">
      <c r="A244">
        <v>9</v>
      </c>
      <c r="B244" t="s">
        <v>695</v>
      </c>
      <c r="C244" t="s">
        <v>725</v>
      </c>
      <c r="D244" s="1" t="s">
        <v>726</v>
      </c>
      <c r="E244" t="s">
        <v>60</v>
      </c>
      <c r="F244" t="s">
        <v>234</v>
      </c>
      <c r="G244" s="2"/>
      <c r="I244">
        <v>0</v>
      </c>
      <c r="L244" s="1"/>
      <c r="M244" t="str">
        <f>IF(Fields[[#This Row],[Reference Entity]]&lt;&gt;"","t" &amp;Fields[[#This Row],[Reference Entity]],"")</f>
        <v/>
      </c>
      <c r="P244" s="1"/>
      <c r="T244" s="1"/>
      <c r="U244" s="1"/>
    </row>
    <row r="245" spans="1:21" ht="57.6" x14ac:dyDescent="0.3">
      <c r="A245">
        <v>10</v>
      </c>
      <c r="B245" t="s">
        <v>695</v>
      </c>
      <c r="C245" t="s">
        <v>719</v>
      </c>
      <c r="D245" s="1" t="s">
        <v>720</v>
      </c>
      <c r="E245" t="s">
        <v>124</v>
      </c>
      <c r="F245" t="s">
        <v>233</v>
      </c>
      <c r="G245" s="2"/>
      <c r="I245">
        <v>0</v>
      </c>
      <c r="K245" s="1" t="s">
        <v>721</v>
      </c>
      <c r="L245" s="1"/>
      <c r="M245" t="str">
        <f>IF(Fields[[#This Row],[Reference Entity]]&lt;&gt;"","t" &amp;Fields[[#This Row],[Reference Entity]],"")</f>
        <v/>
      </c>
      <c r="P245" s="1"/>
      <c r="T245" s="1"/>
      <c r="U245" s="1"/>
    </row>
    <row r="246" spans="1:21" x14ac:dyDescent="0.3">
      <c r="A246">
        <v>11</v>
      </c>
      <c r="B246" t="s">
        <v>695</v>
      </c>
      <c r="C246" t="s">
        <v>61</v>
      </c>
      <c r="D246" s="1"/>
      <c r="E246" t="s">
        <v>45</v>
      </c>
      <c r="F246" t="s">
        <v>239</v>
      </c>
      <c r="G246" s="2" t="s">
        <v>238</v>
      </c>
      <c r="H246" t="s">
        <v>20</v>
      </c>
      <c r="L246" s="1"/>
      <c r="M246" t="str">
        <f>IF(Fields[[#This Row],[Reference Entity]]&lt;&gt;"","t" &amp;Fields[[#This Row],[Reference Entity]],"")</f>
        <v/>
      </c>
      <c r="P246" s="1"/>
      <c r="T246" s="1"/>
      <c r="U246" s="1"/>
    </row>
    <row r="247" spans="1:21" ht="43.2" x14ac:dyDescent="0.3">
      <c r="A247">
        <v>1</v>
      </c>
      <c r="B247" t="s">
        <v>709</v>
      </c>
      <c r="C247" t="s">
        <v>53</v>
      </c>
      <c r="D247" s="1" t="s">
        <v>71</v>
      </c>
      <c r="E247" t="s">
        <v>488</v>
      </c>
      <c r="F247" t="s">
        <v>487</v>
      </c>
      <c r="G247" s="2"/>
      <c r="L247" s="1" t="s">
        <v>342</v>
      </c>
      <c r="M247" t="str">
        <f>IF(Fields[[#This Row],[Reference Entity]]&lt;&gt;"","t" &amp;Fields[[#This Row],[Reference Entity]],"")</f>
        <v>tPlan</v>
      </c>
      <c r="N247" t="str">
        <f>IF(Fields[[#This Row],[Reference Entity]]&lt;&gt;"",RIGHT(Fields[[#This Row],[Column Name]],LEN(Fields[[#This Row],[Column Name]])-2),"")</f>
        <v>Plan</v>
      </c>
      <c r="O247" t="s">
        <v>142</v>
      </c>
      <c r="P247" s="1"/>
      <c r="Q247" t="s">
        <v>701</v>
      </c>
      <c r="R247" s="1" t="s">
        <v>20</v>
      </c>
      <c r="T247" s="1"/>
      <c r="U247" s="1"/>
    </row>
    <row r="248" spans="1:21" x14ac:dyDescent="0.3">
      <c r="A248">
        <v>2</v>
      </c>
      <c r="B248" t="s">
        <v>709</v>
      </c>
      <c r="C248" t="s">
        <v>700</v>
      </c>
      <c r="D248" s="1" t="s">
        <v>706</v>
      </c>
      <c r="E248" t="s">
        <v>19</v>
      </c>
      <c r="F248" t="s">
        <v>239</v>
      </c>
      <c r="G248" s="2">
        <v>50</v>
      </c>
      <c r="L248" s="1"/>
      <c r="M248" t="str">
        <f>IF(Fields[[#This Row],[Reference Entity]]&lt;&gt;"","t" &amp;Fields[[#This Row],[Reference Entity]],"")</f>
        <v/>
      </c>
      <c r="P248" s="1"/>
      <c r="Q248" t="s">
        <v>701</v>
      </c>
      <c r="R248" s="1" t="s">
        <v>20</v>
      </c>
      <c r="T248" s="1"/>
      <c r="U248" s="1"/>
    </row>
    <row r="249" spans="1:21" x14ac:dyDescent="0.3">
      <c r="A249">
        <v>3</v>
      </c>
      <c r="B249" t="s">
        <v>709</v>
      </c>
      <c r="C249" t="s">
        <v>704</v>
      </c>
      <c r="D249" s="1" t="s">
        <v>705</v>
      </c>
      <c r="E249" t="s">
        <v>45</v>
      </c>
      <c r="F249" t="s">
        <v>239</v>
      </c>
      <c r="G249" s="2" t="s">
        <v>238</v>
      </c>
      <c r="H249" t="s">
        <v>20</v>
      </c>
      <c r="L249" s="1"/>
      <c r="M249" t="str">
        <f>IF(Fields[[#This Row],[Reference Entity]]&lt;&gt;"","t" &amp;Fields[[#This Row],[Reference Entity]],"")</f>
        <v/>
      </c>
      <c r="P249" s="1"/>
      <c r="T249" s="1"/>
      <c r="U249" s="1"/>
    </row>
    <row r="250" spans="1:21" x14ac:dyDescent="0.3">
      <c r="A250">
        <v>4</v>
      </c>
      <c r="B250" t="s">
        <v>709</v>
      </c>
      <c r="C250" t="s">
        <v>727</v>
      </c>
      <c r="D250" s="1"/>
      <c r="E250" t="s">
        <v>17</v>
      </c>
      <c r="F250" t="s">
        <v>388</v>
      </c>
      <c r="G250" s="2"/>
      <c r="H250" t="s">
        <v>20</v>
      </c>
      <c r="L250" s="1"/>
      <c r="M250" t="str">
        <f>IF(Fields[[#This Row],[Reference Entity]]&lt;&gt;"","t" &amp;Fields[[#This Row],[Reference Entity]],"")</f>
        <v/>
      </c>
      <c r="P250" s="1"/>
      <c r="T250" s="1"/>
      <c r="U250" s="1"/>
    </row>
    <row r="251" spans="1:21" ht="43.2" x14ac:dyDescent="0.3">
      <c r="A251">
        <v>1</v>
      </c>
      <c r="B251" t="s">
        <v>694</v>
      </c>
      <c r="C251" t="s">
        <v>53</v>
      </c>
      <c r="D251" s="1" t="s">
        <v>71</v>
      </c>
      <c r="E251" t="s">
        <v>488</v>
      </c>
      <c r="F251" t="s">
        <v>487</v>
      </c>
      <c r="G251" s="2"/>
      <c r="L251" s="1" t="s">
        <v>342</v>
      </c>
      <c r="M251" t="str">
        <f>IF(Fields[[#This Row],[Reference Entity]]&lt;&gt;"","t" &amp;Fields[[#This Row],[Reference Entity]],"")</f>
        <v>tPlan</v>
      </c>
      <c r="N251" t="str">
        <f>IF(Fields[[#This Row],[Reference Entity]]&lt;&gt;"",RIGHT(Fields[[#This Row],[Column Name]],LEN(Fields[[#This Row],[Column Name]])-2),"")</f>
        <v>Plan</v>
      </c>
      <c r="O251" t="s">
        <v>142</v>
      </c>
      <c r="P251" s="1"/>
      <c r="Q251" t="s">
        <v>671</v>
      </c>
      <c r="R251" t="s">
        <v>20</v>
      </c>
      <c r="S251"/>
    </row>
    <row r="252" spans="1:21" x14ac:dyDescent="0.3">
      <c r="A252">
        <v>2</v>
      </c>
      <c r="B252" t="s">
        <v>694</v>
      </c>
      <c r="C252" t="s">
        <v>662</v>
      </c>
      <c r="D252" s="1" t="s">
        <v>699</v>
      </c>
      <c r="E252" t="s">
        <v>19</v>
      </c>
      <c r="F252" t="s">
        <v>239</v>
      </c>
      <c r="G252" s="2">
        <v>50</v>
      </c>
      <c r="L252" s="1"/>
      <c r="M252" t="str">
        <f>IF(Fields[[#This Row],[Reference Entity]]&lt;&gt;"","t" &amp;Fields[[#This Row],[Reference Entity]],"")</f>
        <v/>
      </c>
      <c r="P252" s="1"/>
      <c r="Q252" t="s">
        <v>671</v>
      </c>
      <c r="R252" s="1" t="s">
        <v>20</v>
      </c>
      <c r="T252" s="1"/>
      <c r="U252" s="1"/>
    </row>
    <row r="253" spans="1:21" x14ac:dyDescent="0.3">
      <c r="A253">
        <v>3</v>
      </c>
      <c r="B253" t="s">
        <v>694</v>
      </c>
      <c r="C253" t="s">
        <v>685</v>
      </c>
      <c r="D253" s="1" t="s">
        <v>686</v>
      </c>
      <c r="E253" t="s">
        <v>488</v>
      </c>
      <c r="F253" t="s">
        <v>487</v>
      </c>
      <c r="G253" s="2"/>
      <c r="J253" s="1"/>
      <c r="L253" s="1" t="s">
        <v>335</v>
      </c>
      <c r="M253" t="str">
        <f>IF(Fields[[#This Row],[Reference Entity]]&lt;&gt;"","t" &amp;Fields[[#This Row],[Reference Entity]],"")</f>
        <v>tAccount</v>
      </c>
      <c r="N253" t="str">
        <f>IF(Fields[[#This Row],[Reference Entity]]&lt;&gt;"",RIGHT(Fields[[#This Row],[Column Name]],LEN(Fields[[#This Row],[Column Name]])-2),"")</f>
        <v>AccountSalary</v>
      </c>
      <c r="P253" s="1"/>
      <c r="Q253" t="str">
        <f>Fields[[#This Row],[Column Name]]</f>
        <v>idAccountSalary</v>
      </c>
      <c r="T253" s="1"/>
      <c r="U253" s="1"/>
    </row>
    <row r="254" spans="1:21" x14ac:dyDescent="0.3">
      <c r="A254">
        <v>4</v>
      </c>
      <c r="B254" t="s">
        <v>694</v>
      </c>
      <c r="C254" t="s">
        <v>687</v>
      </c>
      <c r="D254" s="1" t="s">
        <v>688</v>
      </c>
      <c r="E254" t="s">
        <v>124</v>
      </c>
      <c r="F254" t="s">
        <v>233</v>
      </c>
      <c r="G254" s="2"/>
      <c r="I254">
        <v>28</v>
      </c>
      <c r="L254" s="1"/>
      <c r="M254" t="str">
        <f>IF(Fields[[#This Row],[Reference Entity]]&lt;&gt;"","t" &amp;Fields[[#This Row],[Reference Entity]],"")</f>
        <v/>
      </c>
      <c r="P254" s="1"/>
      <c r="T254" s="1"/>
      <c r="U254" s="1"/>
    </row>
    <row r="255" spans="1:21" x14ac:dyDescent="0.3">
      <c r="A255">
        <v>5</v>
      </c>
      <c r="B255" t="s">
        <v>694</v>
      </c>
      <c r="C255" t="s">
        <v>702</v>
      </c>
      <c r="D255" s="1" t="s">
        <v>703</v>
      </c>
      <c r="E255" t="s">
        <v>45</v>
      </c>
      <c r="F255" t="s">
        <v>239</v>
      </c>
      <c r="G255" s="2" t="s">
        <v>238</v>
      </c>
      <c r="H255" t="s">
        <v>20</v>
      </c>
      <c r="L255" s="1"/>
      <c r="M255" t="str">
        <f>IF(Fields[[#This Row],[Reference Entity]]&lt;&gt;"","t" &amp;Fields[[#This Row],[Reference Entity]],"")</f>
        <v/>
      </c>
      <c r="P255" s="1"/>
      <c r="T255" s="1"/>
      <c r="U255" s="1"/>
    </row>
    <row r="256" spans="1:21" x14ac:dyDescent="0.3">
      <c r="A256">
        <v>6</v>
      </c>
      <c r="B256" t="s">
        <v>694</v>
      </c>
      <c r="C256" t="s">
        <v>670</v>
      </c>
      <c r="D256" s="1" t="s">
        <v>684</v>
      </c>
      <c r="E256" t="s">
        <v>18</v>
      </c>
      <c r="F256" t="s">
        <v>6</v>
      </c>
      <c r="G256" s="2"/>
      <c r="I256">
        <v>1</v>
      </c>
      <c r="L256" s="1"/>
      <c r="M256" t="str">
        <f>IF(Fields[[#This Row],[Reference Entity]]&lt;&gt;"","t" &amp;Fields[[#This Row],[Reference Entity]],"")</f>
        <v/>
      </c>
      <c r="P256" s="1"/>
      <c r="T256" s="1"/>
      <c r="U256" s="1"/>
    </row>
    <row r="257" spans="1:22" x14ac:dyDescent="0.3">
      <c r="A257">
        <v>7</v>
      </c>
      <c r="B257" t="s">
        <v>694</v>
      </c>
      <c r="C257" t="s">
        <v>727</v>
      </c>
      <c r="D257" s="1"/>
      <c r="E257" t="s">
        <v>17</v>
      </c>
      <c r="F257" t="s">
        <v>388</v>
      </c>
      <c r="G257" s="2"/>
      <c r="H257" t="s">
        <v>20</v>
      </c>
      <c r="L257" s="1"/>
      <c r="M257" t="str">
        <f>IF(Fields[[#This Row],[Reference Entity]]&lt;&gt;"","t" &amp;Fields[[#This Row],[Reference Entity]],"")</f>
        <v/>
      </c>
      <c r="P257" s="1"/>
      <c r="T257" s="1"/>
      <c r="U257" s="1"/>
    </row>
    <row r="258" spans="1:22" ht="28.8" x14ac:dyDescent="0.3">
      <c r="A258">
        <v>1</v>
      </c>
      <c r="B258" t="s">
        <v>698</v>
      </c>
      <c r="C258" t="s">
        <v>647</v>
      </c>
      <c r="D258" s="1" t="s">
        <v>689</v>
      </c>
      <c r="E258" t="s">
        <v>488</v>
      </c>
      <c r="F258" t="s">
        <v>487</v>
      </c>
      <c r="G258" s="2"/>
      <c r="L258" s="1" t="s">
        <v>690</v>
      </c>
      <c r="M258" t="str">
        <f>IF(Fields[[#This Row],[Reference Entity]]&lt;&gt;"","t" &amp;Fields[[#This Row],[Reference Entity]],"")</f>
        <v>tPlanHRTariff</v>
      </c>
      <c r="N258" t="str">
        <f>IF(Fields[[#This Row],[Reference Entity]]&lt;&gt;"",RIGHT(Fields[[#This Row],[Column Name]],LEN(Fields[[#This Row],[Column Name]])-2),"")</f>
        <v>Tariff</v>
      </c>
      <c r="P258" s="1"/>
      <c r="T258" s="1"/>
      <c r="U258" s="1"/>
    </row>
    <row r="259" spans="1:22" x14ac:dyDescent="0.3">
      <c r="A259">
        <v>2</v>
      </c>
      <c r="B259" t="s">
        <v>698</v>
      </c>
      <c r="C259" t="s">
        <v>281</v>
      </c>
      <c r="D259" s="1" t="s">
        <v>672</v>
      </c>
      <c r="E259" t="s">
        <v>17</v>
      </c>
      <c r="F259" t="s">
        <v>388</v>
      </c>
      <c r="G259" s="2"/>
      <c r="H259" t="s">
        <v>20</v>
      </c>
      <c r="L259" s="1"/>
      <c r="M259" t="str">
        <f>IF(Fields[[#This Row],[Reference Entity]]&lt;&gt;"","t" &amp;Fields[[#This Row],[Reference Entity]],"")</f>
        <v/>
      </c>
      <c r="P259" s="1"/>
      <c r="T259" s="1"/>
      <c r="U259" s="1"/>
    </row>
    <row r="260" spans="1:22" x14ac:dyDescent="0.3">
      <c r="A260">
        <v>3</v>
      </c>
      <c r="B260" t="s">
        <v>698</v>
      </c>
      <c r="C260" t="s">
        <v>673</v>
      </c>
      <c r="D260" s="1" t="s">
        <v>677</v>
      </c>
      <c r="E260" t="s">
        <v>124</v>
      </c>
      <c r="F260" t="s">
        <v>233</v>
      </c>
      <c r="G260" s="2"/>
      <c r="I260">
        <v>40</v>
      </c>
      <c r="L260" s="1"/>
      <c r="M260" t="str">
        <f>IF(Fields[[#This Row],[Reference Entity]]&lt;&gt;"","t" &amp;Fields[[#This Row],[Reference Entity]],"")</f>
        <v/>
      </c>
      <c r="P260" s="1"/>
      <c r="T260" s="1"/>
      <c r="U260" s="1"/>
    </row>
    <row r="261" spans="1:22" x14ac:dyDescent="0.3">
      <c r="A261">
        <v>4</v>
      </c>
      <c r="B261" t="s">
        <v>698</v>
      </c>
      <c r="C261" t="s">
        <v>649</v>
      </c>
      <c r="D261" s="1" t="s">
        <v>655</v>
      </c>
      <c r="E261" t="s">
        <v>60</v>
      </c>
      <c r="F261" t="s">
        <v>234</v>
      </c>
      <c r="G261" s="2"/>
      <c r="I261">
        <v>1</v>
      </c>
      <c r="L261" s="1"/>
      <c r="M261" t="str">
        <f>IF(Fields[[#This Row],[Reference Entity]]&lt;&gt;"","t" &amp;Fields[[#This Row],[Reference Entity]],"")</f>
        <v/>
      </c>
      <c r="P261" s="1"/>
      <c r="T261" s="1"/>
      <c r="U261" s="1"/>
      <c r="V261" t="s">
        <v>469</v>
      </c>
    </row>
    <row r="262" spans="1:22" x14ac:dyDescent="0.3">
      <c r="A262">
        <v>5</v>
      </c>
      <c r="B262" t="s">
        <v>698</v>
      </c>
      <c r="C262" t="s">
        <v>656</v>
      </c>
      <c r="D262" s="1" t="s">
        <v>659</v>
      </c>
      <c r="E262" t="s">
        <v>60</v>
      </c>
      <c r="F262" t="s">
        <v>234</v>
      </c>
      <c r="G262" s="2"/>
      <c r="I262">
        <v>0</v>
      </c>
      <c r="L262" s="1"/>
      <c r="M262" t="str">
        <f>IF(Fields[[#This Row],[Reference Entity]]&lt;&gt;"","t" &amp;Fields[[#This Row],[Reference Entity]],"")</f>
        <v/>
      </c>
      <c r="P262" s="1"/>
      <c r="T262" s="1"/>
      <c r="U262" s="1"/>
      <c r="V262" t="s">
        <v>469</v>
      </c>
    </row>
    <row r="263" spans="1:22" x14ac:dyDescent="0.3">
      <c r="A263">
        <v>6</v>
      </c>
      <c r="B263" t="s">
        <v>698</v>
      </c>
      <c r="C263" t="s">
        <v>657</v>
      </c>
      <c r="D263" s="1" t="s">
        <v>660</v>
      </c>
      <c r="E263" t="s">
        <v>60</v>
      </c>
      <c r="F263" t="s">
        <v>234</v>
      </c>
      <c r="G263" s="2"/>
      <c r="I263">
        <v>0</v>
      </c>
      <c r="L263" s="1"/>
      <c r="M263" t="str">
        <f>IF(Fields[[#This Row],[Reference Entity]]&lt;&gt;"","t" &amp;Fields[[#This Row],[Reference Entity]],"")</f>
        <v/>
      </c>
      <c r="P263" s="1"/>
      <c r="T263" s="1"/>
      <c r="U263" s="1"/>
      <c r="V263" t="s">
        <v>469</v>
      </c>
    </row>
    <row r="264" spans="1:22" x14ac:dyDescent="0.3">
      <c r="A264">
        <v>7</v>
      </c>
      <c r="B264" t="s">
        <v>698</v>
      </c>
      <c r="C264" t="s">
        <v>658</v>
      </c>
      <c r="D264" s="1" t="s">
        <v>661</v>
      </c>
      <c r="E264" t="s">
        <v>60</v>
      </c>
      <c r="F264" t="s">
        <v>234</v>
      </c>
      <c r="G264" s="2"/>
      <c r="I264">
        <v>0</v>
      </c>
      <c r="L264" s="1"/>
      <c r="M264" t="str">
        <f>IF(Fields[[#This Row],[Reference Entity]]&lt;&gt;"","t" &amp;Fields[[#This Row],[Reference Entity]],"")</f>
        <v/>
      </c>
      <c r="P264" s="1"/>
      <c r="T264" s="1"/>
      <c r="U264" s="1"/>
      <c r="V264" t="s">
        <v>469</v>
      </c>
    </row>
    <row r="265" spans="1:22" x14ac:dyDescent="0.3">
      <c r="A265">
        <v>8</v>
      </c>
      <c r="B265" t="s">
        <v>698</v>
      </c>
      <c r="C265" t="s">
        <v>663</v>
      </c>
      <c r="D265" s="1" t="s">
        <v>674</v>
      </c>
      <c r="E265" t="s">
        <v>124</v>
      </c>
      <c r="F265" t="s">
        <v>233</v>
      </c>
      <c r="G265" s="2"/>
      <c r="I265">
        <v>0</v>
      </c>
      <c r="L265" s="1"/>
      <c r="M265" t="str">
        <f>IF(Fields[[#This Row],[Reference Entity]]&lt;&gt;"","t" &amp;Fields[[#This Row],[Reference Entity]],"")</f>
        <v/>
      </c>
      <c r="P265" s="1"/>
      <c r="T265" s="1"/>
      <c r="U265" s="1"/>
    </row>
    <row r="266" spans="1:22" ht="28.8" x14ac:dyDescent="0.3">
      <c r="A266">
        <v>9</v>
      </c>
      <c r="B266" t="s">
        <v>698</v>
      </c>
      <c r="C266" t="s">
        <v>664</v>
      </c>
      <c r="D266" s="1" t="s">
        <v>675</v>
      </c>
      <c r="E266" t="s">
        <v>124</v>
      </c>
      <c r="F266" t="s">
        <v>233</v>
      </c>
      <c r="G266" s="2"/>
      <c r="I266">
        <v>0</v>
      </c>
      <c r="L266" s="1"/>
      <c r="M266" t="str">
        <f>IF(Fields[[#This Row],[Reference Entity]]&lt;&gt;"","t" &amp;Fields[[#This Row],[Reference Entity]],"")</f>
        <v/>
      </c>
      <c r="P266" s="1"/>
      <c r="T266" s="1"/>
      <c r="U266" s="1"/>
    </row>
    <row r="267" spans="1:22" ht="28.8" x14ac:dyDescent="0.3">
      <c r="A267">
        <v>10</v>
      </c>
      <c r="B267" t="s">
        <v>698</v>
      </c>
      <c r="C267" t="s">
        <v>676</v>
      </c>
      <c r="D267" s="1" t="s">
        <v>678</v>
      </c>
      <c r="E267" t="s">
        <v>60</v>
      </c>
      <c r="F267" t="s">
        <v>234</v>
      </c>
      <c r="G267" s="2"/>
      <c r="I267">
        <v>0</v>
      </c>
      <c r="L267" s="1"/>
      <c r="M267" t="str">
        <f>IF(Fields[[#This Row],[Reference Entity]]&lt;&gt;"","t" &amp;Fields[[#This Row],[Reference Entity]],"")</f>
        <v/>
      </c>
      <c r="P267" s="1"/>
      <c r="T267" s="1"/>
      <c r="U267" s="1"/>
    </row>
    <row r="268" spans="1:22" x14ac:dyDescent="0.3">
      <c r="A268">
        <v>11</v>
      </c>
      <c r="B268" t="s">
        <v>698</v>
      </c>
      <c r="C268" t="s">
        <v>665</v>
      </c>
      <c r="D268" s="1" t="s">
        <v>679</v>
      </c>
      <c r="E268" t="s">
        <v>60</v>
      </c>
      <c r="F268" t="s">
        <v>234</v>
      </c>
      <c r="G268" s="2"/>
      <c r="I268">
        <v>0</v>
      </c>
      <c r="L268" s="1"/>
      <c r="M268" t="str">
        <f>IF(Fields[[#This Row],[Reference Entity]]&lt;&gt;"","t" &amp;Fields[[#This Row],[Reference Entity]],"")</f>
        <v/>
      </c>
      <c r="P268" s="1"/>
      <c r="T268" s="1"/>
      <c r="U268" s="1"/>
    </row>
    <row r="269" spans="1:22" x14ac:dyDescent="0.3">
      <c r="A269">
        <v>12</v>
      </c>
      <c r="B269" t="s">
        <v>698</v>
      </c>
      <c r="C269" t="s">
        <v>666</v>
      </c>
      <c r="D269" s="1" t="s">
        <v>680</v>
      </c>
      <c r="E269" t="s">
        <v>60</v>
      </c>
      <c r="F269" t="s">
        <v>234</v>
      </c>
      <c r="G269" s="2"/>
      <c r="I269">
        <v>0</v>
      </c>
      <c r="L269" s="1"/>
      <c r="M269" t="str">
        <f>IF(Fields[[#This Row],[Reference Entity]]&lt;&gt;"","t" &amp;Fields[[#This Row],[Reference Entity]],"")</f>
        <v/>
      </c>
      <c r="P269" s="1"/>
      <c r="T269" s="1"/>
      <c r="U269" s="1"/>
    </row>
    <row r="270" spans="1:22" x14ac:dyDescent="0.3">
      <c r="A270">
        <v>13</v>
      </c>
      <c r="B270" t="s">
        <v>698</v>
      </c>
      <c r="C270" t="s">
        <v>667</v>
      </c>
      <c r="D270" s="1" t="s">
        <v>681</v>
      </c>
      <c r="E270" t="s">
        <v>60</v>
      </c>
      <c r="F270" t="s">
        <v>234</v>
      </c>
      <c r="G270" s="2"/>
      <c r="I270">
        <v>1</v>
      </c>
      <c r="L270" s="1"/>
      <c r="M270" t="str">
        <f>IF(Fields[[#This Row],[Reference Entity]]&lt;&gt;"","t" &amp;Fields[[#This Row],[Reference Entity]],"")</f>
        <v/>
      </c>
      <c r="P270" s="1"/>
      <c r="T270" s="1"/>
      <c r="U270" s="1"/>
    </row>
    <row r="271" spans="1:22" x14ac:dyDescent="0.3">
      <c r="A271">
        <v>14</v>
      </c>
      <c r="B271" t="s">
        <v>698</v>
      </c>
      <c r="C271" t="s">
        <v>668</v>
      </c>
      <c r="D271" s="1" t="s">
        <v>682</v>
      </c>
      <c r="E271" t="s">
        <v>60</v>
      </c>
      <c r="F271" t="s">
        <v>234</v>
      </c>
      <c r="G271" s="2"/>
      <c r="H271" t="s">
        <v>20</v>
      </c>
      <c r="L271" s="1"/>
      <c r="M271" t="str">
        <f>IF(Fields[[#This Row],[Reference Entity]]&lt;&gt;"","t" &amp;Fields[[#This Row],[Reference Entity]],"")</f>
        <v/>
      </c>
      <c r="P271" s="1"/>
      <c r="T271" s="1"/>
      <c r="U271" s="1"/>
    </row>
    <row r="272" spans="1:22" x14ac:dyDescent="0.3">
      <c r="A272">
        <v>15</v>
      </c>
      <c r="B272" t="s">
        <v>698</v>
      </c>
      <c r="C272" t="s">
        <v>669</v>
      </c>
      <c r="D272" s="1" t="s">
        <v>683</v>
      </c>
      <c r="E272" t="s">
        <v>124</v>
      </c>
      <c r="F272" t="s">
        <v>233</v>
      </c>
      <c r="G272" s="2"/>
      <c r="I272">
        <v>12</v>
      </c>
      <c r="L272" s="1"/>
      <c r="M272" t="str">
        <f>IF(Fields[[#This Row],[Reference Entity]]&lt;&gt;"","t" &amp;Fields[[#This Row],[Reference Entity]],"")</f>
        <v/>
      </c>
      <c r="P272" s="1"/>
      <c r="T272" s="1"/>
      <c r="U272" s="1"/>
    </row>
    <row r="273" spans="1:22" ht="43.2" x14ac:dyDescent="0.3">
      <c r="A273">
        <v>1</v>
      </c>
      <c r="B273" t="s">
        <v>453</v>
      </c>
      <c r="C273" t="s">
        <v>53</v>
      </c>
      <c r="D273" s="1" t="s">
        <v>71</v>
      </c>
      <c r="E273" t="s">
        <v>488</v>
      </c>
      <c r="F273" t="s">
        <v>487</v>
      </c>
      <c r="G273" s="2"/>
      <c r="L273" s="1" t="s">
        <v>342</v>
      </c>
      <c r="M273" t="str">
        <f>IF(Fields[[#This Row],[Reference Entity]]&lt;&gt;"","t" &amp;Fields[[#This Row],[Reference Entity]],"")</f>
        <v>tPlan</v>
      </c>
      <c r="N273" t="str">
        <f>IF(Fields[[#This Row],[Reference Entity]]&lt;&gt;"",RIGHT(Fields[[#This Row],[Column Name]],LEN(Fields[[#This Row],[Column Name]])-2),"")</f>
        <v>Plan</v>
      </c>
      <c r="O273" t="s">
        <v>142</v>
      </c>
      <c r="P273" s="1"/>
      <c r="T273" s="1"/>
      <c r="U273" s="1"/>
    </row>
    <row r="274" spans="1:22" x14ac:dyDescent="0.3">
      <c r="A274">
        <v>2</v>
      </c>
      <c r="B274" t="s">
        <v>453</v>
      </c>
      <c r="C274" t="s">
        <v>454</v>
      </c>
      <c r="D274" s="1" t="s">
        <v>455</v>
      </c>
      <c r="E274" t="s">
        <v>19</v>
      </c>
      <c r="F274" t="s">
        <v>239</v>
      </c>
      <c r="G274" s="2">
        <v>30</v>
      </c>
      <c r="L274" s="1" t="s">
        <v>382</v>
      </c>
      <c r="M274" t="str">
        <f>IF(Fields[[#This Row],[Reference Entity]]&lt;&gt;"","t" &amp;Fields[[#This Row],[Reference Entity]],"")</f>
        <v/>
      </c>
      <c r="N274" t="str">
        <f>IF(Fields[[#This Row],[Reference Entity]]&lt;&gt;"",RIGHT(Fields[[#This Row],[Column Name]],LEN(Fields[[#This Row],[Column Name]])-2),"")</f>
        <v/>
      </c>
      <c r="P274" s="1"/>
      <c r="T274" s="1"/>
      <c r="U274" s="1"/>
    </row>
    <row r="275" spans="1:22" x14ac:dyDescent="0.3">
      <c r="A275">
        <v>3</v>
      </c>
      <c r="B275" t="s">
        <v>453</v>
      </c>
      <c r="C275" t="s">
        <v>456</v>
      </c>
      <c r="D275" s="1" t="s">
        <v>457</v>
      </c>
      <c r="E275" t="s">
        <v>124</v>
      </c>
      <c r="F275" t="s">
        <v>233</v>
      </c>
      <c r="G275" s="2"/>
      <c r="I275">
        <v>12</v>
      </c>
      <c r="K275" s="1" t="s">
        <v>597</v>
      </c>
      <c r="L275" s="1" t="s">
        <v>382</v>
      </c>
      <c r="M275" t="str">
        <f>IF(Fields[[#This Row],[Reference Entity]]&lt;&gt;"","t" &amp;Fields[[#This Row],[Reference Entity]],"")</f>
        <v/>
      </c>
      <c r="N275" t="str">
        <f>IF(Fields[[#This Row],[Reference Entity]]&lt;&gt;"",RIGHT(Fields[[#This Row],[Column Name]],LEN(Fields[[#This Row],[Column Name]])-2),"")</f>
        <v/>
      </c>
      <c r="P275" s="1"/>
      <c r="T275" s="1"/>
      <c r="U275" s="1"/>
    </row>
    <row r="276" spans="1:22" x14ac:dyDescent="0.3">
      <c r="A276">
        <v>4</v>
      </c>
      <c r="B276" t="s">
        <v>453</v>
      </c>
      <c r="C276" t="s">
        <v>458</v>
      </c>
      <c r="D276" s="1" t="s">
        <v>459</v>
      </c>
      <c r="E276" t="s">
        <v>60</v>
      </c>
      <c r="F276" t="s">
        <v>234</v>
      </c>
      <c r="G276" s="2"/>
      <c r="I276">
        <v>0</v>
      </c>
      <c r="L276" s="1" t="s">
        <v>382</v>
      </c>
      <c r="M276" t="str">
        <f>IF(Fields[[#This Row],[Reference Entity]]&lt;&gt;"","t" &amp;Fields[[#This Row],[Reference Entity]],"")</f>
        <v/>
      </c>
      <c r="N276" t="str">
        <f>IF(Fields[[#This Row],[Reference Entity]]&lt;&gt;"",RIGHT(Fields[[#This Row],[Column Name]],LEN(Fields[[#This Row],[Column Name]])-2),"")</f>
        <v/>
      </c>
      <c r="P276" s="1"/>
      <c r="T276" s="1"/>
      <c r="U276" s="1"/>
    </row>
    <row r="277" spans="1:22" x14ac:dyDescent="0.3">
      <c r="A277">
        <v>5</v>
      </c>
      <c r="B277" t="s">
        <v>453</v>
      </c>
      <c r="C277" t="s">
        <v>464</v>
      </c>
      <c r="D277" s="1" t="s">
        <v>465</v>
      </c>
      <c r="E277" t="s">
        <v>45</v>
      </c>
      <c r="F277" t="s">
        <v>239</v>
      </c>
      <c r="G277" s="2" t="s">
        <v>238</v>
      </c>
      <c r="H277" t="s">
        <v>20</v>
      </c>
      <c r="L277" s="1" t="s">
        <v>382</v>
      </c>
      <c r="M277" t="str">
        <f>IF(Fields[[#This Row],[Reference Entity]]&lt;&gt;"","t" &amp;Fields[[#This Row],[Reference Entity]],"")</f>
        <v/>
      </c>
      <c r="N277" t="str">
        <f>IF(Fields[[#This Row],[Reference Entity]]&lt;&gt;"",RIGHT(Fields[[#This Row],[Column Name]],LEN(Fields[[#This Row],[Column Name]])-2),"")</f>
        <v/>
      </c>
      <c r="P277" s="1"/>
      <c r="T277" s="1"/>
      <c r="U277" s="1"/>
      <c r="V277" t="s">
        <v>466</v>
      </c>
    </row>
    <row r="278" spans="1:22" ht="43.2" x14ac:dyDescent="0.3">
      <c r="A278">
        <v>1</v>
      </c>
      <c r="B278" t="s">
        <v>66</v>
      </c>
      <c r="C278" t="s">
        <v>53</v>
      </c>
      <c r="D278" s="1" t="s">
        <v>71</v>
      </c>
      <c r="E278" t="s">
        <v>488</v>
      </c>
      <c r="F278" t="s">
        <v>487</v>
      </c>
      <c r="G278" s="2"/>
      <c r="L278" s="1" t="s">
        <v>342</v>
      </c>
      <c r="M278" t="str">
        <f>IF(Fields[[#This Row],[Reference Entity]]&lt;&gt;"","t" &amp;Fields[[#This Row],[Reference Entity]],"")</f>
        <v>tPlan</v>
      </c>
      <c r="N278" t="str">
        <f>IF(Fields[[#This Row],[Reference Entity]]&lt;&gt;"",RIGHT(Fields[[#This Row],[Column Name]],LEN(Fields[[#This Row],[Column Name]])-2),"")</f>
        <v>Plan</v>
      </c>
      <c r="O278" t="s">
        <v>142</v>
      </c>
      <c r="P278" s="1"/>
      <c r="Q278" t="s">
        <v>279</v>
      </c>
      <c r="R278" t="s">
        <v>20</v>
      </c>
      <c r="S278"/>
    </row>
    <row r="279" spans="1:22" x14ac:dyDescent="0.3">
      <c r="A279">
        <v>2</v>
      </c>
      <c r="B279" t="s">
        <v>66</v>
      </c>
      <c r="C279" t="s">
        <v>321</v>
      </c>
      <c r="D279" s="1" t="s">
        <v>452</v>
      </c>
      <c r="E279" t="s">
        <v>124</v>
      </c>
      <c r="F279" t="s">
        <v>233</v>
      </c>
      <c r="G279" s="2"/>
      <c r="I279">
        <v>0</v>
      </c>
      <c r="K279" t="s">
        <v>321</v>
      </c>
      <c r="L279" s="1" t="s">
        <v>382</v>
      </c>
      <c r="M279" t="str">
        <f>IF(Fields[[#This Row],[Reference Entity]]&lt;&gt;"","t" &amp;Fields[[#This Row],[Reference Entity]],"")</f>
        <v/>
      </c>
      <c r="N279" t="str">
        <f>IF(Fields[[#This Row],[Reference Entity]]&lt;&gt;"",RIGHT(Fields[[#This Row],[Column Name]],LEN(Fields[[#This Row],[Column Name]])-2),"")</f>
        <v/>
      </c>
      <c r="P279" s="1"/>
      <c r="Q279" t="s">
        <v>279</v>
      </c>
      <c r="R279" t="s">
        <v>20</v>
      </c>
      <c r="S279"/>
    </row>
    <row r="280" spans="1:22" x14ac:dyDescent="0.3">
      <c r="A280">
        <v>3</v>
      </c>
      <c r="B280" t="s">
        <v>66</v>
      </c>
      <c r="C280" t="s">
        <v>311</v>
      </c>
      <c r="D280" s="1" t="s">
        <v>108</v>
      </c>
      <c r="E280" t="s">
        <v>19</v>
      </c>
      <c r="F280" t="s">
        <v>239</v>
      </c>
      <c r="G280" s="2">
        <v>30</v>
      </c>
      <c r="L280" s="1" t="s">
        <v>382</v>
      </c>
      <c r="M280" t="str">
        <f>IF(Fields[[#This Row],[Reference Entity]]&lt;&gt;"","t" &amp;Fields[[#This Row],[Reference Entity]],"")</f>
        <v/>
      </c>
      <c r="N280" t="str">
        <f>IF(Fields[[#This Row],[Reference Entity]]&lt;&gt;"",RIGHT(Fields[[#This Row],[Column Name]],LEN(Fields[[#This Row],[Column Name]])-2),"")</f>
        <v/>
      </c>
      <c r="P280" s="1"/>
      <c r="Q280" t="s">
        <v>279</v>
      </c>
      <c r="R280" t="s">
        <v>20</v>
      </c>
      <c r="S280"/>
    </row>
    <row r="281" spans="1:22" x14ac:dyDescent="0.3">
      <c r="A281">
        <v>4</v>
      </c>
      <c r="B281" t="s">
        <v>66</v>
      </c>
      <c r="C281" t="s">
        <v>125</v>
      </c>
      <c r="D281" s="1" t="s">
        <v>128</v>
      </c>
      <c r="E281" t="s">
        <v>60</v>
      </c>
      <c r="F281" t="s">
        <v>234</v>
      </c>
      <c r="G281" s="2"/>
      <c r="I281">
        <v>0</v>
      </c>
      <c r="L281" s="1" t="s">
        <v>382</v>
      </c>
      <c r="M281" t="str">
        <f>IF(Fields[[#This Row],[Reference Entity]]&lt;&gt;"","t" &amp;Fields[[#This Row],[Reference Entity]],"")</f>
        <v/>
      </c>
      <c r="N281" t="str">
        <f>IF(Fields[[#This Row],[Reference Entity]]&lt;&gt;"",RIGHT(Fields[[#This Row],[Column Name]],LEN(Fields[[#This Row],[Column Name]])-2),"")</f>
        <v/>
      </c>
      <c r="P281" s="1"/>
      <c r="R281"/>
      <c r="S281"/>
    </row>
    <row r="282" spans="1:22" x14ac:dyDescent="0.3">
      <c r="A282">
        <v>5</v>
      </c>
      <c r="B282" t="s">
        <v>66</v>
      </c>
      <c r="C282" t="s">
        <v>126</v>
      </c>
      <c r="D282" s="1" t="s">
        <v>129</v>
      </c>
      <c r="E282" t="s">
        <v>17</v>
      </c>
      <c r="F282" t="s">
        <v>388</v>
      </c>
      <c r="G282" s="2"/>
      <c r="H282" t="s">
        <v>20</v>
      </c>
      <c r="L282" s="1" t="s">
        <v>382</v>
      </c>
      <c r="M282" t="str">
        <f>IF(Fields[[#This Row],[Reference Entity]]&lt;&gt;"","t" &amp;Fields[[#This Row],[Reference Entity]],"")</f>
        <v/>
      </c>
      <c r="N282" t="str">
        <f>IF(Fields[[#This Row],[Reference Entity]]&lt;&gt;"",RIGHT(Fields[[#This Row],[Column Name]],LEN(Fields[[#This Row],[Column Name]])-2),"")</f>
        <v/>
      </c>
      <c r="P282" s="1"/>
      <c r="R282"/>
      <c r="S282"/>
    </row>
    <row r="283" spans="1:22" x14ac:dyDescent="0.3">
      <c r="A283">
        <v>6</v>
      </c>
      <c r="B283" t="s">
        <v>66</v>
      </c>
      <c r="C283" t="s">
        <v>127</v>
      </c>
      <c r="D283" s="1" t="s">
        <v>130</v>
      </c>
      <c r="E283" t="s">
        <v>19</v>
      </c>
      <c r="F283" t="s">
        <v>239</v>
      </c>
      <c r="G283" s="2">
        <v>30</v>
      </c>
      <c r="H283" t="s">
        <v>20</v>
      </c>
      <c r="L283" s="1" t="s">
        <v>382</v>
      </c>
      <c r="M283" t="str">
        <f>IF(Fields[[#This Row],[Reference Entity]]&lt;&gt;"","t" &amp;Fields[[#This Row],[Reference Entity]],"")</f>
        <v/>
      </c>
      <c r="N283" t="str">
        <f>IF(Fields[[#This Row],[Reference Entity]]&lt;&gt;"",RIGHT(Fields[[#This Row],[Column Name]],LEN(Fields[[#This Row],[Column Name]])-2),"")</f>
        <v/>
      </c>
      <c r="P283" s="1"/>
      <c r="R283"/>
      <c r="S283"/>
    </row>
    <row r="284" spans="1:22" x14ac:dyDescent="0.3">
      <c r="A284">
        <v>7</v>
      </c>
      <c r="B284" t="s">
        <v>66</v>
      </c>
      <c r="C284" t="s">
        <v>323</v>
      </c>
      <c r="D284" s="1" t="s">
        <v>131</v>
      </c>
      <c r="E284" t="s">
        <v>19</v>
      </c>
      <c r="F284" t="s">
        <v>239</v>
      </c>
      <c r="G284" s="2">
        <v>15</v>
      </c>
      <c r="H284" t="s">
        <v>20</v>
      </c>
      <c r="L284" s="1" t="s">
        <v>382</v>
      </c>
      <c r="M284" t="str">
        <f>IF(Fields[[#This Row],[Reference Entity]]&lt;&gt;"","t" &amp;Fields[[#This Row],[Reference Entity]],"")</f>
        <v/>
      </c>
      <c r="N284" t="str">
        <f>IF(Fields[[#This Row],[Reference Entity]]&lt;&gt;"",RIGHT(Fields[[#This Row],[Column Name]],LEN(Fields[[#This Row],[Column Name]])-2),"")</f>
        <v/>
      </c>
      <c r="P284" s="1"/>
      <c r="R284"/>
      <c r="S284"/>
    </row>
    <row r="285" spans="1:22" x14ac:dyDescent="0.3">
      <c r="A285">
        <v>8</v>
      </c>
      <c r="B285" t="s">
        <v>66</v>
      </c>
      <c r="C285" t="s">
        <v>290</v>
      </c>
      <c r="D285" s="1" t="s">
        <v>109</v>
      </c>
      <c r="E285" t="s">
        <v>45</v>
      </c>
      <c r="F285" t="s">
        <v>239</v>
      </c>
      <c r="G285" s="2" t="s">
        <v>238</v>
      </c>
      <c r="H285" t="s">
        <v>20</v>
      </c>
      <c r="L285" s="1" t="s">
        <v>382</v>
      </c>
      <c r="M285" t="str">
        <f>IF(Fields[[#This Row],[Reference Entity]]&lt;&gt;"","t" &amp;Fields[[#This Row],[Reference Entity]],"")</f>
        <v/>
      </c>
      <c r="N285" t="str">
        <f>IF(Fields[[#This Row],[Reference Entity]]&lt;&gt;"",RIGHT(Fields[[#This Row],[Column Name]],LEN(Fields[[#This Row],[Column Name]])-2),"")</f>
        <v/>
      </c>
      <c r="P285" s="1"/>
      <c r="R285"/>
      <c r="S285"/>
    </row>
    <row r="286" spans="1:22" ht="28.8" x14ac:dyDescent="0.3">
      <c r="A286">
        <v>1</v>
      </c>
      <c r="B286" t="s">
        <v>163</v>
      </c>
      <c r="C286" t="s">
        <v>53</v>
      </c>
      <c r="D286" s="1" t="s">
        <v>224</v>
      </c>
      <c r="E286" t="s">
        <v>488</v>
      </c>
      <c r="F286" t="s">
        <v>487</v>
      </c>
      <c r="G286" s="2"/>
      <c r="J286" s="1"/>
      <c r="L286" s="1" t="s">
        <v>342</v>
      </c>
      <c r="M286" t="str">
        <f>IF(Fields[[#This Row],[Reference Entity]]&lt;&gt;"","t" &amp;Fields[[#This Row],[Reference Entity]],"")</f>
        <v>tPlan</v>
      </c>
      <c r="N286" t="str">
        <f>IF(Fields[[#This Row],[Reference Entity]]&lt;&gt;"",RIGHT(Fields[[#This Row],[Column Name]],LEN(Fields[[#This Row],[Column Name]])-2),"")</f>
        <v>Plan</v>
      </c>
      <c r="O286" t="s">
        <v>142</v>
      </c>
      <c r="P286" s="1"/>
      <c r="Q286" t="str">
        <f>Fields[[#This Row],[Column Name]]</f>
        <v>idPlan</v>
      </c>
      <c r="S286"/>
    </row>
    <row r="287" spans="1:22" x14ac:dyDescent="0.3">
      <c r="A287">
        <v>2</v>
      </c>
      <c r="B287" t="s">
        <v>163</v>
      </c>
      <c r="C287" t="s">
        <v>222</v>
      </c>
      <c r="D287" s="1" t="s">
        <v>223</v>
      </c>
      <c r="E287" t="s">
        <v>488</v>
      </c>
      <c r="F287" t="s">
        <v>487</v>
      </c>
      <c r="G287" s="2"/>
      <c r="J287" s="1"/>
      <c r="L287" s="1" t="s">
        <v>350</v>
      </c>
      <c r="M287" t="str">
        <f>IF(Fields[[#This Row],[Reference Entity]]&lt;&gt;"","t" &amp;Fields[[#This Row],[Reference Entity]],"")</f>
        <v>tBookTransaction</v>
      </c>
      <c r="N287" t="str">
        <f>IF(Fields[[#This Row],[Reference Entity]]&lt;&gt;"",RIGHT(Fields[[#This Row],[Column Name]],LEN(Fields[[#This Row],[Column Name]])-2),"")</f>
        <v>BookTransaction</v>
      </c>
      <c r="P287" s="1"/>
      <c r="Q287" t="str">
        <f>Fields[[#This Row],[Column Name]]</f>
        <v>idBookTransaction</v>
      </c>
      <c r="S287"/>
    </row>
    <row r="288" spans="1:22" x14ac:dyDescent="0.3">
      <c r="A288">
        <v>1</v>
      </c>
      <c r="B288" t="s">
        <v>426</v>
      </c>
      <c r="C288" t="s">
        <v>5</v>
      </c>
      <c r="D288" s="1" t="s">
        <v>268</v>
      </c>
      <c r="E288" t="s">
        <v>488</v>
      </c>
      <c r="F288" t="s">
        <v>487</v>
      </c>
      <c r="G288" s="2"/>
      <c r="J288" s="1"/>
      <c r="L288" s="1" t="s">
        <v>147</v>
      </c>
      <c r="M288" t="str">
        <f>IF(Fields[[#This Row],[Reference Entity]]&lt;&gt;"","t" &amp;Fields[[#This Row],[Reference Entity]],"")</f>
        <v>tClient</v>
      </c>
      <c r="N288" t="str">
        <f>IF(Fields[[#This Row],[Reference Entity]]&lt;&gt;"",RIGHT(Fields[[#This Row],[Column Name]],LEN(Fields[[#This Row],[Column Name]])-2),"")</f>
        <v>Client</v>
      </c>
      <c r="P288" s="1"/>
      <c r="Q288" s="1" t="s">
        <v>25</v>
      </c>
      <c r="R288" s="1" t="s">
        <v>20</v>
      </c>
      <c r="T288" s="1"/>
      <c r="U288" s="1"/>
    </row>
    <row r="289" spans="1:22" ht="28.8" x14ac:dyDescent="0.3">
      <c r="A289">
        <v>2</v>
      </c>
      <c r="B289" t="s">
        <v>426</v>
      </c>
      <c r="C289" t="s">
        <v>267</v>
      </c>
      <c r="D289" s="1" t="s">
        <v>269</v>
      </c>
      <c r="E289" t="s">
        <v>488</v>
      </c>
      <c r="F289" t="s">
        <v>487</v>
      </c>
      <c r="G289" s="2"/>
      <c r="J289" s="1"/>
      <c r="L289" s="1" t="s">
        <v>340</v>
      </c>
      <c r="M289" t="str">
        <f>IF(Fields[[#This Row],[Reference Entity]]&lt;&gt;"","t" &amp;Fields[[#This Row],[Reference Entity]],"")</f>
        <v>tReferenceGroup</v>
      </c>
      <c r="N289" t="str">
        <f>IF(Fields[[#This Row],[Reference Entity]]&lt;&gt;"",RIGHT(Fields[[#This Row],[Column Name]],LEN(Fields[[#This Row],[Column Name]])-2),"")</f>
        <v>ReferenceGroup</v>
      </c>
      <c r="O289" t="s">
        <v>142</v>
      </c>
      <c r="P289" s="1"/>
      <c r="Q289" s="1" t="s">
        <v>267</v>
      </c>
      <c r="T289" s="1"/>
      <c r="U289" s="1"/>
    </row>
    <row r="290" spans="1:22" x14ac:dyDescent="0.3">
      <c r="A290">
        <v>3</v>
      </c>
      <c r="B290" t="s">
        <v>426</v>
      </c>
      <c r="C290" t="s">
        <v>428</v>
      </c>
      <c r="D290" s="1" t="s">
        <v>270</v>
      </c>
      <c r="E290" t="s">
        <v>19</v>
      </c>
      <c r="F290" t="s">
        <v>239</v>
      </c>
      <c r="G290" s="2">
        <v>12</v>
      </c>
      <c r="J290" s="1"/>
      <c r="L290" s="1" t="s">
        <v>382</v>
      </c>
      <c r="M290" t="str">
        <f>IF(Fields[[#This Row],[Reference Entity]]&lt;&gt;"","t" &amp;Fields[[#This Row],[Reference Entity]],"")</f>
        <v/>
      </c>
      <c r="N290" t="str">
        <f>IF(Fields[[#This Row],[Reference Entity]]&lt;&gt;"",RIGHT(Fields[[#This Row],[Column Name]],LEN(Fields[[#This Row],[Column Name]])-2),"")</f>
        <v/>
      </c>
      <c r="P290" s="1"/>
      <c r="Q290" s="1" t="s">
        <v>25</v>
      </c>
      <c r="R290" s="1" t="s">
        <v>20</v>
      </c>
      <c r="T290" s="1"/>
      <c r="U290" s="1"/>
    </row>
    <row r="291" spans="1:22" x14ac:dyDescent="0.3">
      <c r="A291">
        <v>4</v>
      </c>
      <c r="B291" t="s">
        <v>426</v>
      </c>
      <c r="C291" t="s">
        <v>429</v>
      </c>
      <c r="D291" s="1" t="s">
        <v>887</v>
      </c>
      <c r="E291" t="s">
        <v>19</v>
      </c>
      <c r="F291" t="s">
        <v>239</v>
      </c>
      <c r="G291" s="2">
        <v>50</v>
      </c>
      <c r="H291" t="s">
        <v>20</v>
      </c>
      <c r="J291" s="1"/>
      <c r="L291" s="1" t="s">
        <v>382</v>
      </c>
      <c r="M291" t="str">
        <f>IF(Fields[[#This Row],[Reference Entity]]&lt;&gt;"","t" &amp;Fields[[#This Row],[Reference Entity]],"")</f>
        <v/>
      </c>
      <c r="N291" t="str">
        <f>IF(Fields[[#This Row],[Reference Entity]]&lt;&gt;"",RIGHT(Fields[[#This Row],[Column Name]],LEN(Fields[[#This Row],[Column Name]])-2),"")</f>
        <v/>
      </c>
      <c r="P291" s="1"/>
      <c r="Q291" s="1"/>
      <c r="T291" s="1"/>
      <c r="U291" s="1"/>
    </row>
    <row r="292" spans="1:22" x14ac:dyDescent="0.3">
      <c r="A292">
        <v>5</v>
      </c>
      <c r="B292" t="s">
        <v>426</v>
      </c>
      <c r="C292" t="s">
        <v>427</v>
      </c>
      <c r="D292" s="1" t="s">
        <v>271</v>
      </c>
      <c r="E292" t="s">
        <v>45</v>
      </c>
      <c r="F292" t="s">
        <v>239</v>
      </c>
      <c r="G292" s="2" t="s">
        <v>238</v>
      </c>
      <c r="H292" t="s">
        <v>20</v>
      </c>
      <c r="J292" s="1"/>
      <c r="L292" s="1" t="s">
        <v>382</v>
      </c>
      <c r="M292" t="str">
        <f>IF(Fields[[#This Row],[Reference Entity]]&lt;&gt;"","t" &amp;Fields[[#This Row],[Reference Entity]],"")</f>
        <v/>
      </c>
      <c r="N292" t="str">
        <f>IF(Fields[[#This Row],[Reference Entity]]&lt;&gt;"",RIGHT(Fields[[#This Row],[Column Name]],LEN(Fields[[#This Row],[Column Name]])-2),"")</f>
        <v/>
      </c>
      <c r="P292" s="1"/>
      <c r="Q292" s="1"/>
      <c r="T292" s="1"/>
      <c r="U292" s="1"/>
    </row>
    <row r="293" spans="1:22" x14ac:dyDescent="0.3">
      <c r="A293">
        <v>6</v>
      </c>
      <c r="B293" t="s">
        <v>426</v>
      </c>
      <c r="C293" t="s">
        <v>883</v>
      </c>
      <c r="D293" s="1" t="s">
        <v>884</v>
      </c>
      <c r="E293" t="s">
        <v>18</v>
      </c>
      <c r="F293" t="s">
        <v>6</v>
      </c>
      <c r="G293" s="2"/>
      <c r="I293">
        <v>1</v>
      </c>
      <c r="J293" s="1"/>
      <c r="L293" s="1"/>
      <c r="M293" t="str">
        <f>IF(Fields[[#This Row],[Reference Entity]]&lt;&gt;"","t" &amp;Fields[[#This Row],[Reference Entity]],"")</f>
        <v/>
      </c>
      <c r="P293" s="1"/>
      <c r="Q293" s="1"/>
      <c r="T293" s="1"/>
      <c r="U293" s="1"/>
    </row>
    <row r="294" spans="1:22" x14ac:dyDescent="0.3">
      <c r="A294">
        <v>7</v>
      </c>
      <c r="B294" t="s">
        <v>426</v>
      </c>
      <c r="C294" t="s">
        <v>886</v>
      </c>
      <c r="D294" s="1" t="s">
        <v>888</v>
      </c>
      <c r="E294" t="s">
        <v>19</v>
      </c>
      <c r="F294" t="s">
        <v>239</v>
      </c>
      <c r="G294" s="2">
        <v>50</v>
      </c>
      <c r="H294" t="s">
        <v>20</v>
      </c>
      <c r="J294" s="1"/>
      <c r="L294" s="1"/>
      <c r="M294" t="str">
        <f>IF(Fields[[#This Row],[Reference Entity]]&lt;&gt;"","t" &amp;Fields[[#This Row],[Reference Entity]],"")</f>
        <v/>
      </c>
      <c r="P294" s="1"/>
      <c r="Q294" s="1"/>
      <c r="T294" s="1"/>
      <c r="U294" s="1"/>
    </row>
    <row r="295" spans="1:22" x14ac:dyDescent="0.3">
      <c r="A295">
        <v>1</v>
      </c>
      <c r="B295" t="s">
        <v>246</v>
      </c>
      <c r="C295" t="s">
        <v>5</v>
      </c>
      <c r="D295" s="1" t="s">
        <v>251</v>
      </c>
      <c r="E295" t="s">
        <v>488</v>
      </c>
      <c r="F295" t="s">
        <v>487</v>
      </c>
      <c r="G295" s="2"/>
      <c r="J295" s="1"/>
      <c r="L295" s="1" t="s">
        <v>147</v>
      </c>
      <c r="M295" t="str">
        <f>IF(Fields[[#This Row],[Reference Entity]]&lt;&gt;"","t" &amp;Fields[[#This Row],[Reference Entity]],"")</f>
        <v>tClient</v>
      </c>
      <c r="N295" t="str">
        <f>IF(Fields[[#This Row],[Reference Entity]]&lt;&gt;"",RIGHT(Fields[[#This Row],[Column Name]],LEN(Fields[[#This Row],[Column Name]])-2),"")</f>
        <v>Client</v>
      </c>
      <c r="O295" t="s">
        <v>142</v>
      </c>
      <c r="P295" s="1"/>
      <c r="Q295" t="s">
        <v>25</v>
      </c>
      <c r="R295" s="1" t="s">
        <v>20</v>
      </c>
      <c r="S295"/>
    </row>
    <row r="296" spans="1:22" x14ac:dyDescent="0.3">
      <c r="A296">
        <v>2</v>
      </c>
      <c r="B296" t="s">
        <v>246</v>
      </c>
      <c r="C296" t="s">
        <v>322</v>
      </c>
      <c r="D296" s="1" t="s">
        <v>261</v>
      </c>
      <c r="E296" t="s">
        <v>19</v>
      </c>
      <c r="F296" t="s">
        <v>239</v>
      </c>
      <c r="G296" s="2">
        <v>1</v>
      </c>
      <c r="J296" s="1"/>
      <c r="K296" s="1" t="s">
        <v>573</v>
      </c>
      <c r="L296" s="1" t="s">
        <v>382</v>
      </c>
      <c r="M296" t="str">
        <f>IF(Fields[[#This Row],[Reference Entity]]&lt;&gt;"","t" &amp;Fields[[#This Row],[Reference Entity]],"")</f>
        <v/>
      </c>
      <c r="N296" t="str">
        <f>IF(Fields[[#This Row],[Reference Entity]]&lt;&gt;"",RIGHT(Fields[[#This Row],[Column Name]],LEN(Fields[[#This Row],[Column Name]])-2),"")</f>
        <v/>
      </c>
      <c r="P296" s="1"/>
      <c r="Q296" t="s">
        <v>25</v>
      </c>
      <c r="R296" s="1" t="s">
        <v>20</v>
      </c>
      <c r="S296"/>
    </row>
    <row r="297" spans="1:22" x14ac:dyDescent="0.3">
      <c r="A297">
        <v>3</v>
      </c>
      <c r="B297" t="s">
        <v>246</v>
      </c>
      <c r="C297" t="s">
        <v>313</v>
      </c>
      <c r="D297" s="1" t="s">
        <v>262</v>
      </c>
      <c r="E297" t="s">
        <v>19</v>
      </c>
      <c r="F297" t="s">
        <v>239</v>
      </c>
      <c r="G297" s="2">
        <v>50</v>
      </c>
      <c r="J297" s="1"/>
      <c r="L297" s="1" t="s">
        <v>382</v>
      </c>
      <c r="M297" t="str">
        <f>IF(Fields[[#This Row],[Reference Entity]]&lt;&gt;"","t" &amp;Fields[[#This Row],[Reference Entity]],"")</f>
        <v/>
      </c>
      <c r="N297" t="str">
        <f>IF(Fields[[#This Row],[Reference Entity]]&lt;&gt;"",RIGHT(Fields[[#This Row],[Column Name]],LEN(Fields[[#This Row],[Column Name]])-2),"")</f>
        <v/>
      </c>
      <c r="P297" s="1"/>
      <c r="Q297" s="1"/>
      <c r="T297" s="1"/>
      <c r="U297" s="1"/>
    </row>
    <row r="298" spans="1:22" x14ac:dyDescent="0.3">
      <c r="A298">
        <v>4</v>
      </c>
      <c r="B298" t="s">
        <v>246</v>
      </c>
      <c r="C298" t="s">
        <v>247</v>
      </c>
      <c r="D298" s="1" t="s">
        <v>263</v>
      </c>
      <c r="E298" t="s">
        <v>19</v>
      </c>
      <c r="F298" t="s">
        <v>239</v>
      </c>
      <c r="G298" s="2">
        <v>2</v>
      </c>
      <c r="H298" t="s">
        <v>20</v>
      </c>
      <c r="J298" s="1"/>
      <c r="L298" s="1" t="s">
        <v>382</v>
      </c>
      <c r="M298" t="str">
        <f>IF(Fields[[#This Row],[Reference Entity]]&lt;&gt;"","t" &amp;Fields[[#This Row],[Reference Entity]],"")</f>
        <v/>
      </c>
      <c r="N298" t="str">
        <f>IF(Fields[[#This Row],[Reference Entity]]&lt;&gt;"",RIGHT(Fields[[#This Row],[Column Name]],LEN(Fields[[#This Row],[Column Name]])-2),"")</f>
        <v/>
      </c>
      <c r="P298" s="1"/>
      <c r="Q298" t="s">
        <v>25</v>
      </c>
      <c r="R298" s="1" t="s">
        <v>20</v>
      </c>
      <c r="S298"/>
    </row>
    <row r="299" spans="1:22" x14ac:dyDescent="0.3">
      <c r="A299">
        <v>5</v>
      </c>
      <c r="B299" t="s">
        <v>246</v>
      </c>
      <c r="C299" t="s">
        <v>248</v>
      </c>
      <c r="D299" s="1" t="s">
        <v>264</v>
      </c>
      <c r="E299" t="s">
        <v>16</v>
      </c>
      <c r="F299" t="s">
        <v>4</v>
      </c>
      <c r="G299" s="2"/>
      <c r="I299">
        <v>0</v>
      </c>
      <c r="J299" s="1"/>
      <c r="L299" s="1" t="s">
        <v>382</v>
      </c>
      <c r="M299" t="str">
        <f>IF(Fields[[#This Row],[Reference Entity]]&lt;&gt;"","t" &amp;Fields[[#This Row],[Reference Entity]],"")</f>
        <v/>
      </c>
      <c r="N299" t="str">
        <f>IF(Fields[[#This Row],[Reference Entity]]&lt;&gt;"",RIGHT(Fields[[#This Row],[Column Name]],LEN(Fields[[#This Row],[Column Name]])-2),"")</f>
        <v/>
      </c>
      <c r="P299" s="1"/>
      <c r="Q299" s="1"/>
      <c r="T299" s="1"/>
      <c r="U299" s="1"/>
    </row>
    <row r="300" spans="1:22" x14ac:dyDescent="0.3">
      <c r="A300">
        <v>6</v>
      </c>
      <c r="B300" t="s">
        <v>246</v>
      </c>
      <c r="C300" t="s">
        <v>249</v>
      </c>
      <c r="D300" s="1" t="s">
        <v>265</v>
      </c>
      <c r="E300" t="s">
        <v>18</v>
      </c>
      <c r="F300" t="s">
        <v>6</v>
      </c>
      <c r="G300" s="2"/>
      <c r="I300">
        <v>1</v>
      </c>
      <c r="J300" s="1"/>
      <c r="L300" s="1" t="s">
        <v>382</v>
      </c>
      <c r="M300" t="str">
        <f>IF(Fields[[#This Row],[Reference Entity]]&lt;&gt;"","t" &amp;Fields[[#This Row],[Reference Entity]],"")</f>
        <v/>
      </c>
      <c r="N300" t="str">
        <f>IF(Fields[[#This Row],[Reference Entity]]&lt;&gt;"",RIGHT(Fields[[#This Row],[Column Name]],LEN(Fields[[#This Row],[Column Name]])-2),"")</f>
        <v/>
      </c>
      <c r="P300" s="1"/>
      <c r="Q300" s="1"/>
      <c r="T300" s="1"/>
      <c r="U300" s="1"/>
    </row>
    <row r="301" spans="1:22" x14ac:dyDescent="0.3">
      <c r="A301">
        <v>7</v>
      </c>
      <c r="B301" t="s">
        <v>246</v>
      </c>
      <c r="C301" t="s">
        <v>250</v>
      </c>
      <c r="D301" s="1" t="s">
        <v>266</v>
      </c>
      <c r="E301" t="s">
        <v>124</v>
      </c>
      <c r="F301" t="s">
        <v>233</v>
      </c>
      <c r="G301" s="2"/>
      <c r="I301">
        <v>4</v>
      </c>
      <c r="J301" s="1"/>
      <c r="L301" s="1" t="s">
        <v>382</v>
      </c>
      <c r="M301" t="str">
        <f>IF(Fields[[#This Row],[Reference Entity]]&lt;&gt;"","t" &amp;Fields[[#This Row],[Reference Entity]],"")</f>
        <v/>
      </c>
      <c r="N301" t="str">
        <f>IF(Fields[[#This Row],[Reference Entity]]&lt;&gt;"",RIGHT(Fields[[#This Row],[Column Name]],LEN(Fields[[#This Row],[Column Name]])-2),"")</f>
        <v/>
      </c>
      <c r="P301" s="1"/>
      <c r="Q301" s="1"/>
      <c r="T301" s="1"/>
      <c r="U301" s="1"/>
    </row>
    <row r="302" spans="1:22" x14ac:dyDescent="0.3">
      <c r="A302">
        <v>1</v>
      </c>
      <c r="B302" t="s">
        <v>542</v>
      </c>
      <c r="C302" t="s">
        <v>543</v>
      </c>
      <c r="D302" s="1" t="s">
        <v>544</v>
      </c>
      <c r="E302" t="s">
        <v>488</v>
      </c>
      <c r="F302" t="s">
        <v>487</v>
      </c>
      <c r="G302" s="2"/>
      <c r="L302" s="1" t="s">
        <v>527</v>
      </c>
      <c r="M302" t="str">
        <f>IF(Fields[[#This Row],[Reference Entity]]&lt;&gt;"","t" &amp;Fields[[#This Row],[Reference Entity]],"")</f>
        <v>tUser</v>
      </c>
      <c r="N302" t="s">
        <v>545</v>
      </c>
      <c r="O302" t="s">
        <v>142</v>
      </c>
      <c r="P302" s="1"/>
      <c r="T302" s="1"/>
      <c r="U302" s="1"/>
    </row>
    <row r="303" spans="1:22" x14ac:dyDescent="0.3">
      <c r="A303">
        <v>2</v>
      </c>
      <c r="B303" t="s">
        <v>542</v>
      </c>
      <c r="C303" t="s">
        <v>5</v>
      </c>
      <c r="D303" s="1" t="s">
        <v>174</v>
      </c>
      <c r="E303" t="s">
        <v>488</v>
      </c>
      <c r="F303" t="s">
        <v>487</v>
      </c>
      <c r="G303" s="2"/>
      <c r="L303" s="1" t="s">
        <v>147</v>
      </c>
      <c r="M303" t="str">
        <f>IF(Fields[[#This Row],[Reference Entity]]&lt;&gt;"","t" &amp;Fields[[#This Row],[Reference Entity]],"")</f>
        <v>tClient</v>
      </c>
      <c r="N303" t="s">
        <v>546</v>
      </c>
      <c r="P303" s="1"/>
      <c r="T303" s="1"/>
      <c r="U303" s="1"/>
    </row>
    <row r="304" spans="1:22" x14ac:dyDescent="0.3">
      <c r="A304">
        <v>1</v>
      </c>
      <c r="B304" t="s">
        <v>470</v>
      </c>
      <c r="C304" t="s">
        <v>475</v>
      </c>
      <c r="D304" s="1" t="s">
        <v>472</v>
      </c>
      <c r="E304" t="s">
        <v>488</v>
      </c>
      <c r="F304" t="s">
        <v>487</v>
      </c>
      <c r="G304" s="2"/>
      <c r="J304" s="1"/>
      <c r="L304" t="s">
        <v>468</v>
      </c>
      <c r="M304" t="str">
        <f>IF(Fields[[#This Row],[Reference Entity]]&lt;&gt;"","t" &amp;Fields[[#This Row],[Reference Entity]],"")</f>
        <v>tTypeGroupDef</v>
      </c>
      <c r="N304" t="str">
        <f>IF(Fields[[#This Row],[Reference Entity]]&lt;&gt;"",RIGHT(Fields[[#This Row],[Column Name]],LEN(Fields[[#This Row],[Column Name]])-2),"")</f>
        <v>TypeGroupDef</v>
      </c>
      <c r="O304" t="s">
        <v>142</v>
      </c>
      <c r="P304" s="1"/>
      <c r="S304"/>
      <c r="V304" t="s">
        <v>469</v>
      </c>
    </row>
    <row r="305" spans="1:22" x14ac:dyDescent="0.3">
      <c r="A305">
        <v>2</v>
      </c>
      <c r="B305" t="s">
        <v>470</v>
      </c>
      <c r="C305" t="s">
        <v>476</v>
      </c>
      <c r="D305" s="1" t="s">
        <v>478</v>
      </c>
      <c r="E305" t="s">
        <v>19</v>
      </c>
      <c r="F305" t="s">
        <v>239</v>
      </c>
      <c r="G305" s="2">
        <v>25</v>
      </c>
      <c r="J305" s="1"/>
      <c r="L305" s="1"/>
      <c r="M305" t="str">
        <f>IF(Fields[[#This Row],[Reference Entity]]&lt;&gt;"","t" &amp;Fields[[#This Row],[Reference Entity]],"")</f>
        <v/>
      </c>
      <c r="P305" s="1"/>
      <c r="Q305" t="s">
        <v>467</v>
      </c>
      <c r="R305" s="1" t="s">
        <v>20</v>
      </c>
      <c r="S305"/>
      <c r="V305" t="s">
        <v>469</v>
      </c>
    </row>
    <row r="306" spans="1:22" x14ac:dyDescent="0.3">
      <c r="A306">
        <v>3</v>
      </c>
      <c r="B306" t="s">
        <v>470</v>
      </c>
      <c r="C306" t="s">
        <v>473</v>
      </c>
      <c r="D306" s="1" t="s">
        <v>479</v>
      </c>
      <c r="E306" t="s">
        <v>30</v>
      </c>
      <c r="F306" t="s">
        <v>233</v>
      </c>
      <c r="G306" s="2"/>
      <c r="J306" s="1"/>
      <c r="L306" s="1"/>
      <c r="M306" t="str">
        <f>IF(Fields[[#This Row],[Reference Entity]]&lt;&gt;"","t" &amp;Fields[[#This Row],[Reference Entity]],"")</f>
        <v/>
      </c>
      <c r="P306" s="1"/>
      <c r="Q306" t="s">
        <v>467</v>
      </c>
      <c r="R306" s="1" t="s">
        <v>20</v>
      </c>
      <c r="S306"/>
      <c r="V306" t="s">
        <v>469</v>
      </c>
    </row>
    <row r="307" spans="1:22" x14ac:dyDescent="0.3">
      <c r="A307">
        <v>1</v>
      </c>
      <c r="B307" s="8" t="s">
        <v>471</v>
      </c>
      <c r="C307" t="s">
        <v>474</v>
      </c>
      <c r="D307" s="1" t="s">
        <v>477</v>
      </c>
      <c r="E307" t="s">
        <v>19</v>
      </c>
      <c r="F307" t="s">
        <v>239</v>
      </c>
      <c r="G307" s="2">
        <v>25</v>
      </c>
      <c r="J307" s="1"/>
      <c r="L307" s="1" t="s">
        <v>382</v>
      </c>
      <c r="M307" t="str">
        <f>IF(Fields[[#This Row],[Reference Entity]]&lt;&gt;"","t" &amp;Fields[[#This Row],[Reference Entity]],"")</f>
        <v/>
      </c>
      <c r="N307" t="str">
        <f>IF(Fields[[#This Row],[Reference Entity]]&lt;&gt;"",RIGHT(Fields[[#This Row],[Column Name]],LEN(Fields[[#This Row],[Column Name]])-2),"")</f>
        <v/>
      </c>
      <c r="P307" s="1"/>
      <c r="Q307" t="str">
        <f>Fields[[#This Row],[Column Name]]</f>
        <v>TypeGroupID</v>
      </c>
      <c r="R307" s="1" t="s">
        <v>20</v>
      </c>
      <c r="S307"/>
      <c r="V307" t="s">
        <v>469</v>
      </c>
    </row>
    <row r="308" spans="1:22" x14ac:dyDescent="0.3">
      <c r="A308">
        <v>1</v>
      </c>
      <c r="B308" s="8" t="s">
        <v>529</v>
      </c>
      <c r="C308" t="s">
        <v>530</v>
      </c>
      <c r="D308" s="1" t="s">
        <v>533</v>
      </c>
      <c r="E308" t="s">
        <v>19</v>
      </c>
      <c r="F308" t="s">
        <v>239</v>
      </c>
      <c r="G308" s="2">
        <v>255</v>
      </c>
      <c r="L308" s="1"/>
      <c r="M308" t="str">
        <f>IF(Fields[[#This Row],[Reference Entity]]&lt;&gt;"","t" &amp;Fields[[#This Row],[Reference Entity]],"")</f>
        <v/>
      </c>
      <c r="P308" s="1"/>
      <c r="T308" s="1"/>
      <c r="U308" s="1"/>
    </row>
    <row r="309" spans="1:22" x14ac:dyDescent="0.3">
      <c r="A309">
        <v>2</v>
      </c>
      <c r="B309" s="8" t="s">
        <v>529</v>
      </c>
      <c r="C309" t="s">
        <v>531</v>
      </c>
      <c r="D309" s="1" t="s">
        <v>534</v>
      </c>
      <c r="E309" t="s">
        <v>19</v>
      </c>
      <c r="F309" t="s">
        <v>239</v>
      </c>
      <c r="G309" s="2">
        <v>30</v>
      </c>
      <c r="L309" s="1"/>
      <c r="M309" t="str">
        <f>IF(Fields[[#This Row],[Reference Entity]]&lt;&gt;"","t" &amp;Fields[[#This Row],[Reference Entity]],"")</f>
        <v/>
      </c>
      <c r="P309" s="1"/>
      <c r="T309" s="1"/>
      <c r="U309" s="1"/>
    </row>
    <row r="310" spans="1:22" x14ac:dyDescent="0.3">
      <c r="A310">
        <v>3</v>
      </c>
      <c r="B310" s="8" t="s">
        <v>529</v>
      </c>
      <c r="C310" t="s">
        <v>532</v>
      </c>
      <c r="D310" s="1" t="s">
        <v>535</v>
      </c>
      <c r="E310" t="s">
        <v>19</v>
      </c>
      <c r="F310" t="s">
        <v>239</v>
      </c>
      <c r="G310" s="2">
        <v>48</v>
      </c>
      <c r="L310" s="1"/>
      <c r="M310" t="str">
        <f>IF(Fields[[#This Row],[Reference Entity]]&lt;&gt;"","t" &amp;Fields[[#This Row],[Reference Entity]],"")</f>
        <v/>
      </c>
      <c r="P310" s="1"/>
      <c r="T310" s="1"/>
      <c r="U310" s="1"/>
    </row>
    <row r="311" spans="1:22" x14ac:dyDescent="0.3">
      <c r="A311">
        <v>4</v>
      </c>
      <c r="B311" s="8" t="s">
        <v>529</v>
      </c>
      <c r="C311" t="s">
        <v>537</v>
      </c>
      <c r="D311" s="1" t="s">
        <v>536</v>
      </c>
      <c r="E311" t="s">
        <v>488</v>
      </c>
      <c r="F311" t="s">
        <v>487</v>
      </c>
      <c r="G311" s="2"/>
      <c r="L311" s="1" t="s">
        <v>147</v>
      </c>
      <c r="M311" t="str">
        <f>IF(Fields[[#This Row],[Reference Entity]]&lt;&gt;"","t" &amp;Fields[[#This Row],[Reference Entity]],"")</f>
        <v>tClient</v>
      </c>
      <c r="N311" t="s">
        <v>538</v>
      </c>
      <c r="P311" s="1"/>
      <c r="T311" s="1"/>
      <c r="U311" s="1"/>
    </row>
    <row r="312" spans="1:22" x14ac:dyDescent="0.3">
      <c r="A312">
        <v>5</v>
      </c>
      <c r="B312" s="8" t="s">
        <v>529</v>
      </c>
      <c r="C312" t="s">
        <v>547</v>
      </c>
      <c r="D312" s="1"/>
      <c r="E312" t="s">
        <v>124</v>
      </c>
      <c r="F312" t="s">
        <v>233</v>
      </c>
      <c r="G312" s="2"/>
      <c r="I312">
        <v>0</v>
      </c>
      <c r="K312" s="1" t="s">
        <v>547</v>
      </c>
      <c r="L312" s="1"/>
      <c r="M312" t="str">
        <f>IF(Fields[[#This Row],[Reference Entity]]&lt;&gt;"","t" &amp;Fields[[#This Row],[Reference Entity]],"")</f>
        <v/>
      </c>
      <c r="P312" s="1"/>
      <c r="T312" s="1"/>
      <c r="U312" s="1"/>
    </row>
    <row r="313" spans="1:22" x14ac:dyDescent="0.3">
      <c r="A313">
        <v>6</v>
      </c>
      <c r="B313" t="s">
        <v>529</v>
      </c>
      <c r="C313" t="s">
        <v>758</v>
      </c>
      <c r="D313" s="1"/>
      <c r="E313" t="s">
        <v>19</v>
      </c>
      <c r="F313" t="s">
        <v>239</v>
      </c>
      <c r="G313" s="2">
        <v>255</v>
      </c>
      <c r="H313" t="s">
        <v>20</v>
      </c>
      <c r="L313" s="1"/>
      <c r="M313" t="str">
        <f>IF(Fields[[#This Row],[Reference Entity]]&lt;&gt;"","t" &amp;Fields[[#This Row],[Reference Entity]],"")</f>
        <v/>
      </c>
      <c r="P313" s="1"/>
      <c r="T313" s="1"/>
      <c r="U313" s="1"/>
    </row>
    <row r="314" spans="1:22" x14ac:dyDescent="0.3">
      <c r="A314">
        <v>7</v>
      </c>
      <c r="B314" t="s">
        <v>529</v>
      </c>
      <c r="C314" t="s">
        <v>759</v>
      </c>
      <c r="D314" s="1"/>
      <c r="E314" t="s">
        <v>19</v>
      </c>
      <c r="F314" t="s">
        <v>239</v>
      </c>
      <c r="G314" s="2">
        <v>255</v>
      </c>
      <c r="H314" t="s">
        <v>20</v>
      </c>
      <c r="L314" s="1"/>
      <c r="M314" t="str">
        <f>IF(Fields[[#This Row],[Reference Entity]]&lt;&gt;"","t" &amp;Fields[[#This Row],[Reference Entity]],"")</f>
        <v/>
      </c>
      <c r="P314" s="1"/>
      <c r="T314" s="1"/>
      <c r="U314" s="1"/>
    </row>
    <row r="315" spans="1:22" x14ac:dyDescent="0.3">
      <c r="A315">
        <v>1</v>
      </c>
      <c r="B315" t="s">
        <v>64</v>
      </c>
      <c r="C315" t="s">
        <v>5</v>
      </c>
      <c r="D315" s="1" t="s">
        <v>251</v>
      </c>
      <c r="E315" t="s">
        <v>488</v>
      </c>
      <c r="F315" t="s">
        <v>487</v>
      </c>
      <c r="G315" s="2"/>
      <c r="J315" s="1"/>
      <c r="L315" s="1" t="s">
        <v>147</v>
      </c>
      <c r="M315" t="str">
        <f>IF(Fields[[#This Row],[Reference Entity]]&lt;&gt;"","t" &amp;Fields[[#This Row],[Reference Entity]],"")</f>
        <v>tClient</v>
      </c>
      <c r="N315" t="str">
        <f>IF(Fields[[#This Row],[Reference Entity]]&lt;&gt;"",RIGHT(Fields[[#This Row],[Column Name]],LEN(Fields[[#This Row],[Column Name]])-2),"")</f>
        <v>Client</v>
      </c>
      <c r="O315" t="s">
        <v>142</v>
      </c>
      <c r="P315" s="1"/>
      <c r="Q315" t="s">
        <v>25</v>
      </c>
      <c r="R315" s="1" t="s">
        <v>20</v>
      </c>
      <c r="S315"/>
    </row>
    <row r="316" spans="1:22" x14ac:dyDescent="0.3">
      <c r="A316">
        <v>2</v>
      </c>
      <c r="B316" t="s">
        <v>64</v>
      </c>
      <c r="C316" t="s">
        <v>240</v>
      </c>
      <c r="D316" s="1" t="s">
        <v>252</v>
      </c>
      <c r="E316" t="s">
        <v>488</v>
      </c>
      <c r="F316" t="s">
        <v>487</v>
      </c>
      <c r="G316" s="2"/>
      <c r="J316" s="1"/>
      <c r="L316" s="1" t="s">
        <v>335</v>
      </c>
      <c r="M316" t="str">
        <f>IF(Fields[[#This Row],[Reference Entity]]&lt;&gt;"","t" &amp;Fields[[#This Row],[Reference Entity]],"")</f>
        <v>tAccount</v>
      </c>
      <c r="N316" t="str">
        <f>IF(Fields[[#This Row],[Reference Entity]]&lt;&gt;"",RIGHT(Fields[[#This Row],[Column Name]],LEN(Fields[[#This Row],[Column Name]])-2),"")</f>
        <v>AccountVATInput</v>
      </c>
      <c r="P316" s="1"/>
      <c r="Q316" t="str">
        <f>Fields[[#This Row],[Column Name]]</f>
        <v>idAccountVATInput</v>
      </c>
      <c r="S316"/>
      <c r="U316" t="s">
        <v>375</v>
      </c>
    </row>
    <row r="317" spans="1:22" x14ac:dyDescent="0.3">
      <c r="A317">
        <v>3</v>
      </c>
      <c r="B317" t="s">
        <v>64</v>
      </c>
      <c r="C317" t="s">
        <v>241</v>
      </c>
      <c r="D317" s="1" t="s">
        <v>253</v>
      </c>
      <c r="E317" t="s">
        <v>488</v>
      </c>
      <c r="F317" t="s">
        <v>487</v>
      </c>
      <c r="G317" s="2"/>
      <c r="J317" s="1"/>
      <c r="L317" s="1" t="s">
        <v>335</v>
      </c>
      <c r="M317" t="str">
        <f>IF(Fields[[#This Row],[Reference Entity]]&lt;&gt;"","t" &amp;Fields[[#This Row],[Reference Entity]],"")</f>
        <v>tAccount</v>
      </c>
      <c r="N317" t="str">
        <f>IF(Fields[[#This Row],[Reference Entity]]&lt;&gt;"",RIGHT(Fields[[#This Row],[Column Name]],LEN(Fields[[#This Row],[Column Name]])-2),"")</f>
        <v>AccountVATOutput</v>
      </c>
      <c r="P317" s="1"/>
      <c r="Q317" t="str">
        <f>Fields[[#This Row],[Column Name]]</f>
        <v>idAccountVATOutput</v>
      </c>
      <c r="S317"/>
      <c r="U317" t="s">
        <v>376</v>
      </c>
    </row>
    <row r="318" spans="1:22" x14ac:dyDescent="0.3">
      <c r="A318">
        <v>4</v>
      </c>
      <c r="B318" t="s">
        <v>64</v>
      </c>
      <c r="C318" t="s">
        <v>489</v>
      </c>
      <c r="D318" s="1" t="s">
        <v>582</v>
      </c>
      <c r="E318" t="s">
        <v>488</v>
      </c>
      <c r="F318" t="s">
        <v>487</v>
      </c>
      <c r="G318" s="2"/>
      <c r="H318" t="s">
        <v>20</v>
      </c>
      <c r="J318" s="1"/>
      <c r="L318" s="1" t="s">
        <v>335</v>
      </c>
      <c r="M318" t="str">
        <f>IF(Fields[[#This Row],[Reference Entity]]&lt;&gt;"","t" &amp;Fields[[#This Row],[Reference Entity]],"")</f>
        <v>tAccount</v>
      </c>
      <c r="N318" t="s">
        <v>490</v>
      </c>
      <c r="P318" s="1"/>
      <c r="Q318" t="s">
        <v>491</v>
      </c>
      <c r="S318"/>
      <c r="U318" t="s">
        <v>492</v>
      </c>
      <c r="V318" t="s">
        <v>469</v>
      </c>
    </row>
    <row r="319" spans="1:22" x14ac:dyDescent="0.3">
      <c r="A319">
        <v>5</v>
      </c>
      <c r="B319" t="s">
        <v>64</v>
      </c>
      <c r="C319" t="s">
        <v>287</v>
      </c>
      <c r="D319" s="1" t="s">
        <v>259</v>
      </c>
      <c r="E319" t="s">
        <v>19</v>
      </c>
      <c r="F319" t="s">
        <v>239</v>
      </c>
      <c r="G319" s="2">
        <v>5</v>
      </c>
      <c r="H319" t="s">
        <v>20</v>
      </c>
      <c r="J319" s="1"/>
      <c r="L319" s="1" t="s">
        <v>382</v>
      </c>
      <c r="M319" t="str">
        <f>IF(Fields[[#This Row],[Reference Entity]]&lt;&gt;"","t" &amp;Fields[[#This Row],[Reference Entity]],"")</f>
        <v/>
      </c>
      <c r="N319" t="str">
        <f>IF(Fields[[#This Row],[Reference Entity]]&lt;&gt;"",RIGHT(Fields[[#This Row],[Column Name]],LEN(Fields[[#This Row],[Column Name]])-2),"")</f>
        <v/>
      </c>
      <c r="P319" s="1"/>
      <c r="Q319" t="s">
        <v>25</v>
      </c>
      <c r="R319" s="1" t="s">
        <v>20</v>
      </c>
      <c r="S319"/>
    </row>
    <row r="320" spans="1:22" x14ac:dyDescent="0.3">
      <c r="A320">
        <v>6</v>
      </c>
      <c r="B320" t="s">
        <v>64</v>
      </c>
      <c r="C320" t="s">
        <v>312</v>
      </c>
      <c r="D320" s="1" t="s">
        <v>260</v>
      </c>
      <c r="E320" t="s">
        <v>19</v>
      </c>
      <c r="F320" t="s">
        <v>239</v>
      </c>
      <c r="G320" s="2">
        <v>50</v>
      </c>
      <c r="J320" s="1"/>
      <c r="L320" s="1" t="s">
        <v>382</v>
      </c>
      <c r="M320" t="str">
        <f>IF(Fields[[#This Row],[Reference Entity]]&lt;&gt;"","t" &amp;Fields[[#This Row],[Reference Entity]],"")</f>
        <v/>
      </c>
      <c r="N320" t="str">
        <f>IF(Fields[[#This Row],[Reference Entity]]&lt;&gt;"",RIGHT(Fields[[#This Row],[Column Name]],LEN(Fields[[#This Row],[Column Name]])-2),"")</f>
        <v/>
      </c>
      <c r="P320" s="1"/>
      <c r="Q320" s="1"/>
      <c r="T320" s="1"/>
      <c r="U320" s="1"/>
    </row>
    <row r="321" spans="1:21" x14ac:dyDescent="0.3">
      <c r="A321">
        <v>7</v>
      </c>
      <c r="B321" t="s">
        <v>64</v>
      </c>
      <c r="C321" t="s">
        <v>242</v>
      </c>
      <c r="D321" s="1" t="s">
        <v>255</v>
      </c>
      <c r="E321" t="s">
        <v>60</v>
      </c>
      <c r="F321" t="s">
        <v>234</v>
      </c>
      <c r="G321" s="2"/>
      <c r="J321" s="1"/>
      <c r="L321" s="1" t="s">
        <v>382</v>
      </c>
      <c r="M321" t="str">
        <f>IF(Fields[[#This Row],[Reference Entity]]&lt;&gt;"","t" &amp;Fields[[#This Row],[Reference Entity]],"")</f>
        <v/>
      </c>
      <c r="N321" t="str">
        <f>IF(Fields[[#This Row],[Reference Entity]]&lt;&gt;"",RIGHT(Fields[[#This Row],[Column Name]],LEN(Fields[[#This Row],[Column Name]])-2),"")</f>
        <v/>
      </c>
      <c r="P321" s="1"/>
      <c r="Q321" s="1"/>
      <c r="T321" s="1"/>
      <c r="U321" s="1"/>
    </row>
    <row r="322" spans="1:21" x14ac:dyDescent="0.3">
      <c r="A322">
        <v>8</v>
      </c>
      <c r="B322" t="s">
        <v>64</v>
      </c>
      <c r="C322" t="s">
        <v>493</v>
      </c>
      <c r="D322" s="1"/>
      <c r="E322" t="s">
        <v>30</v>
      </c>
      <c r="F322" t="s">
        <v>4</v>
      </c>
      <c r="G322" s="2"/>
      <c r="J322" s="1"/>
      <c r="L322" s="1"/>
      <c r="M322" t="str">
        <f>IF(Fields[[#This Row],[Reference Entity]]&lt;&gt;"","t" &amp;Fields[[#This Row],[Reference Entity]],"")</f>
        <v/>
      </c>
      <c r="P322" s="1"/>
      <c r="Q322" s="1"/>
      <c r="T322" s="1"/>
      <c r="U322" s="1"/>
    </row>
    <row r="323" spans="1:21" x14ac:dyDescent="0.3">
      <c r="A323">
        <v>9</v>
      </c>
      <c r="B323" t="s">
        <v>64</v>
      </c>
      <c r="C323" t="s">
        <v>243</v>
      </c>
      <c r="D323" s="1" t="s">
        <v>256</v>
      </c>
      <c r="E323" t="s">
        <v>17</v>
      </c>
      <c r="F323" t="s">
        <v>388</v>
      </c>
      <c r="G323" s="2"/>
      <c r="H323" t="s">
        <v>20</v>
      </c>
      <c r="J323" s="1"/>
      <c r="L323" s="1" t="s">
        <v>382</v>
      </c>
      <c r="M323" t="str">
        <f>IF(Fields[[#This Row],[Reference Entity]]&lt;&gt;"","t" &amp;Fields[[#This Row],[Reference Entity]],"")</f>
        <v/>
      </c>
      <c r="N323" t="str">
        <f>IF(Fields[[#This Row],[Reference Entity]]&lt;&gt;"",RIGHT(Fields[[#This Row],[Column Name]],LEN(Fields[[#This Row],[Column Name]])-2),"")</f>
        <v/>
      </c>
      <c r="P323" s="1"/>
      <c r="Q323" s="1"/>
      <c r="T323" s="1"/>
      <c r="U323" s="1"/>
    </row>
    <row r="324" spans="1:21" x14ac:dyDescent="0.3">
      <c r="A324">
        <v>10</v>
      </c>
      <c r="B324" t="s">
        <v>64</v>
      </c>
      <c r="C324" t="s">
        <v>244</v>
      </c>
      <c r="D324" s="1" t="s">
        <v>257</v>
      </c>
      <c r="E324" t="s">
        <v>60</v>
      </c>
      <c r="F324" t="s">
        <v>234</v>
      </c>
      <c r="G324" s="2"/>
      <c r="H324" t="s">
        <v>20</v>
      </c>
      <c r="J324" s="1"/>
      <c r="L324" s="1" t="s">
        <v>382</v>
      </c>
      <c r="M324" t="str">
        <f>IF(Fields[[#This Row],[Reference Entity]]&lt;&gt;"","t" &amp;Fields[[#This Row],[Reference Entity]],"")</f>
        <v/>
      </c>
      <c r="N324" t="str">
        <f>IF(Fields[[#This Row],[Reference Entity]]&lt;&gt;"",RIGHT(Fields[[#This Row],[Column Name]],LEN(Fields[[#This Row],[Column Name]])-2),"")</f>
        <v/>
      </c>
      <c r="P324" s="1"/>
      <c r="Q324" s="1"/>
      <c r="T324" s="1"/>
      <c r="U324" s="1"/>
    </row>
    <row r="325" spans="1:21" ht="28.8" x14ac:dyDescent="0.3">
      <c r="A325">
        <v>11</v>
      </c>
      <c r="B325" t="s">
        <v>64</v>
      </c>
      <c r="C325" t="s">
        <v>254</v>
      </c>
      <c r="D325" s="1" t="s">
        <v>258</v>
      </c>
      <c r="E325" t="s">
        <v>18</v>
      </c>
      <c r="F325" t="s">
        <v>6</v>
      </c>
      <c r="G325" s="2"/>
      <c r="I325">
        <v>0</v>
      </c>
      <c r="J325" s="1"/>
      <c r="L325" s="1" t="s">
        <v>382</v>
      </c>
      <c r="M325" t="str">
        <f>IF(Fields[[#This Row],[Reference Entity]]&lt;&gt;"","t" &amp;Fields[[#This Row],[Reference Entity]],"")</f>
        <v/>
      </c>
      <c r="N325" t="str">
        <f>IF(Fields[[#This Row],[Reference Entity]]&lt;&gt;"",RIGHT(Fields[[#This Row],[Column Name]],LEN(Fields[[#This Row],[Column Name]])-2),"")</f>
        <v/>
      </c>
      <c r="P325" s="1"/>
      <c r="Q325" s="1"/>
      <c r="T325" s="1"/>
      <c r="U325" s="1"/>
    </row>
  </sheetData>
  <dataValidations count="2">
    <dataValidation type="list" allowBlank="1" showInputMessage="1" showErrorMessage="1" sqref="H24:H28 R2:R22 H2:H22 R24:R325 H30:H325" xr:uid="{495B4725-4939-4EB2-85B4-CFC1349C9CC1}">
      <formula1>"Yes"</formula1>
    </dataValidation>
    <dataValidation type="list" allowBlank="1" showInputMessage="1" showErrorMessage="1" sqref="F2:F325"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O2:O22 O24:O325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9"/>
  <sheetViews>
    <sheetView topLeftCell="A19" workbookViewId="0">
      <selection activeCell="H13" sqref="H13"/>
    </sheetView>
  </sheetViews>
  <sheetFormatPr defaultColWidth="11.44140625" defaultRowHeight="14.4" x14ac:dyDescent="0.3"/>
  <cols>
    <col min="1" max="1" width="16.6640625" bestFit="1" customWidth="1"/>
    <col min="2" max="2" width="12.109375" bestFit="1" customWidth="1"/>
    <col min="3" max="3" width="7.88671875" bestFit="1" customWidth="1"/>
    <col min="4" max="4" width="26.5546875" bestFit="1" customWidth="1"/>
  </cols>
  <sheetData>
    <row r="1" spans="1:4" x14ac:dyDescent="0.3">
      <c r="A1" t="s">
        <v>430</v>
      </c>
      <c r="B1" t="s">
        <v>431</v>
      </c>
      <c r="C1" t="s">
        <v>25</v>
      </c>
      <c r="D1" t="s">
        <v>439</v>
      </c>
    </row>
    <row r="2" spans="1:4" x14ac:dyDescent="0.3">
      <c r="A2" t="s">
        <v>320</v>
      </c>
      <c r="B2" t="s">
        <v>437</v>
      </c>
      <c r="C2">
        <v>0</v>
      </c>
      <c r="D2" t="str">
        <f>Tabelle6[[#This Row],[Title]] &amp; " = "&amp;Tabelle6[[#This Row],[Code]]&amp;IF(A3=Tabelle6[[#This Row],[Type Name]],",","")</f>
        <v>BookingRule = 0,</v>
      </c>
    </row>
    <row r="3" spans="1:4" x14ac:dyDescent="0.3">
      <c r="A3" t="s">
        <v>320</v>
      </c>
      <c r="B3" t="s">
        <v>583</v>
      </c>
      <c r="C3">
        <v>1</v>
      </c>
      <c r="D3" t="str">
        <f>Tabelle6[[#This Row],[Title]] &amp; " = "&amp;Tabelle6[[#This Row],[Code]]&amp;IF(A4=Tabelle6[[#This Row],[Type Name]],",","")</f>
        <v>Purchase = 1,</v>
      </c>
    </row>
    <row r="4" spans="1:4" x14ac:dyDescent="0.3">
      <c r="A4" t="s">
        <v>320</v>
      </c>
      <c r="B4" t="s">
        <v>696</v>
      </c>
      <c r="C4">
        <v>2</v>
      </c>
      <c r="D4" t="str">
        <f>Tabelle6[[#This Row],[Title]] &amp; " = "&amp;Tabelle6[[#This Row],[Code]]&amp;IF(A5=Tabelle6[[#This Row],[Type Name]],",","")</f>
        <v>HR = 2,</v>
      </c>
    </row>
    <row r="5" spans="1:4" x14ac:dyDescent="0.3">
      <c r="A5" t="s">
        <v>320</v>
      </c>
      <c r="B5" t="s">
        <v>637</v>
      </c>
      <c r="C5">
        <v>3</v>
      </c>
      <c r="D5" t="str">
        <f>Tabelle6[[#This Row],[Title]] &amp; " = "&amp;Tabelle6[[#This Row],[Code]]&amp;IF(A6=Tabelle6[[#This Row],[Type Name]],",","")</f>
        <v>Sale = 3,</v>
      </c>
    </row>
    <row r="6" spans="1:4" x14ac:dyDescent="0.3">
      <c r="A6" t="s">
        <v>320</v>
      </c>
      <c r="B6" t="s">
        <v>638</v>
      </c>
      <c r="C6">
        <v>4</v>
      </c>
      <c r="D6" t="str">
        <f>Tabelle6[[#This Row],[Title]] &amp; " = "&amp;Tabelle6[[#This Row],[Code]]&amp;IF(A7=Tabelle6[[#This Row],[Type Name]],",","")</f>
        <v>Loan = 4</v>
      </c>
    </row>
    <row r="7" spans="1:4" x14ac:dyDescent="0.3">
      <c r="A7" t="s">
        <v>138</v>
      </c>
      <c r="B7" t="s">
        <v>433</v>
      </c>
      <c r="C7">
        <v>-1</v>
      </c>
      <c r="D7" t="str">
        <f>Tabelle6[[#This Row],[Title]] &amp; " = "&amp;Tabelle6[[#This Row],[Code]]&amp;IF(A8=Tabelle6[[#This Row],[Type Name]],",","")</f>
        <v>Schedule = -1,</v>
      </c>
    </row>
    <row r="8" spans="1:4" x14ac:dyDescent="0.3">
      <c r="A8" t="s">
        <v>138</v>
      </c>
      <c r="B8" t="s">
        <v>432</v>
      </c>
      <c r="C8">
        <v>0</v>
      </c>
      <c r="D8" t="str">
        <f>Tabelle6[[#This Row],[Title]] &amp; " = "&amp;Tabelle6[[#This Row],[Code]]&amp;IF(A9=Tabelle6[[#This Row],[Type Name]],",","")</f>
        <v>NoRepeat = 0,</v>
      </c>
    </row>
    <row r="9" spans="1:4" x14ac:dyDescent="0.3">
      <c r="A9" t="s">
        <v>138</v>
      </c>
      <c r="B9" t="s">
        <v>434</v>
      </c>
      <c r="C9">
        <v>1</v>
      </c>
      <c r="D9" t="str">
        <f>Tabelle6[[#This Row],[Title]] &amp; " = "&amp;Tabelle6[[#This Row],[Code]]&amp;IF(A10=Tabelle6[[#This Row],[Type Name]],",","")</f>
        <v>Monthly = 1,</v>
      </c>
    </row>
    <row r="10" spans="1:4" x14ac:dyDescent="0.3">
      <c r="A10" t="s">
        <v>138</v>
      </c>
      <c r="B10" t="s">
        <v>435</v>
      </c>
      <c r="C10">
        <v>3</v>
      </c>
      <c r="D10" t="str">
        <f>Tabelle6[[#This Row],[Title]] &amp; " = "&amp;Tabelle6[[#This Row],[Code]]&amp;IF(A11=Tabelle6[[#This Row],[Type Name]],",","")</f>
        <v>Quarterly = 3,</v>
      </c>
    </row>
    <row r="11" spans="1:4" x14ac:dyDescent="0.3">
      <c r="A11" t="s">
        <v>138</v>
      </c>
      <c r="B11" t="s">
        <v>436</v>
      </c>
      <c r="C11">
        <v>12</v>
      </c>
      <c r="D11" t="str">
        <f>Tabelle6[[#This Row],[Title]] &amp; " = "&amp;Tabelle6[[#This Row],[Code]]&amp;IF(A12=Tabelle6[[#This Row],[Type Name]],",","")</f>
        <v>Annually = 12</v>
      </c>
    </row>
    <row r="12" spans="1:4" x14ac:dyDescent="0.3">
      <c r="A12" t="s">
        <v>318</v>
      </c>
      <c r="B12" s="5" t="s">
        <v>441</v>
      </c>
      <c r="C12" s="5">
        <v>0</v>
      </c>
      <c r="D12" t="str">
        <f>Tabelle6[[#This Row],[Title]] &amp; " = "&amp;Tabelle6[[#This Row],[Code]]&amp;IF(A13=Tabelle6[[#This Row],[Type Name]],",","")</f>
        <v>Actual = 0,</v>
      </c>
    </row>
    <row r="13" spans="1:4" x14ac:dyDescent="0.3">
      <c r="A13" t="s">
        <v>318</v>
      </c>
      <c r="B13" t="s">
        <v>440</v>
      </c>
      <c r="C13">
        <v>1</v>
      </c>
      <c r="D13" t="str">
        <f>Tabelle6[[#This Row],[Title]] &amp; " = "&amp;Tabelle6[[#This Row],[Code]]&amp;IF(A14=Tabelle6[[#This Row],[Type Name]],",","")</f>
        <v>Baseline = 1,</v>
      </c>
    </row>
    <row r="14" spans="1:4" x14ac:dyDescent="0.3">
      <c r="A14" t="s">
        <v>318</v>
      </c>
      <c r="B14" t="s">
        <v>342</v>
      </c>
      <c r="C14">
        <v>2</v>
      </c>
      <c r="D14" t="str">
        <f>Tabelle6[[#This Row],[Title]] &amp; " = "&amp;Tabelle6[[#This Row],[Code]]&amp;IF(A15=Tabelle6[[#This Row],[Type Name]],",","")</f>
        <v>Plan = 2,</v>
      </c>
    </row>
    <row r="15" spans="1:4" x14ac:dyDescent="0.3">
      <c r="A15" t="s">
        <v>318</v>
      </c>
      <c r="B15" t="s">
        <v>867</v>
      </c>
      <c r="C15">
        <v>3</v>
      </c>
      <c r="D15" t="str">
        <f>Tabelle6[[#This Row],[Title]] &amp; " = "&amp;Tabelle6[[#This Row],[Code]]&amp;IF(A16=Tabelle6[[#This Row],[Type Name]],",","")</f>
        <v>New = 3,</v>
      </c>
    </row>
    <row r="16" spans="1:4" x14ac:dyDescent="0.3">
      <c r="A16" t="s">
        <v>318</v>
      </c>
      <c r="B16" t="s">
        <v>866</v>
      </c>
      <c r="C16">
        <v>9</v>
      </c>
      <c r="D16" t="str">
        <f>Tabelle6[[#This Row],[Title]] &amp; " = "&amp;Tabelle6[[#This Row],[Code]]&amp;IF(A17=Tabelle6[[#This Row],[Type Name]],",","")</f>
        <v>Historical = 9,</v>
      </c>
    </row>
    <row r="17" spans="1:4" x14ac:dyDescent="0.3">
      <c r="A17" t="s">
        <v>318</v>
      </c>
      <c r="B17" t="s">
        <v>869</v>
      </c>
      <c r="C17">
        <v>-1</v>
      </c>
      <c r="D17" t="str">
        <f>Tabelle6[[#This Row],[Title]] &amp; " = "&amp;Tabelle6[[#This Row],[Code]]&amp;IF(A18=Tabelle6[[#This Row],[Type Name]],",","")</f>
        <v>Obsolete = -1</v>
      </c>
    </row>
    <row r="18" spans="1:4" x14ac:dyDescent="0.3">
      <c r="A18" t="s">
        <v>321</v>
      </c>
      <c r="B18" s="1" t="s">
        <v>444</v>
      </c>
      <c r="C18">
        <v>0</v>
      </c>
      <c r="D18" t="str">
        <f>Tabelle6[[#This Row],[Title]] &amp; " = "&amp;Tabelle6[[#This Row],[Code]]&amp;IF(A19=Tabelle6[[#This Row],[Type Name]],",","")</f>
        <v>PriceFactor = 0,</v>
      </c>
    </row>
    <row r="19" spans="1:4" x14ac:dyDescent="0.3">
      <c r="A19" t="s">
        <v>321</v>
      </c>
      <c r="B19" t="s">
        <v>445</v>
      </c>
      <c r="C19">
        <v>10</v>
      </c>
      <c r="D19" t="str">
        <f>Tabelle6[[#This Row],[Title]] &amp; " = "&amp;Tabelle6[[#This Row],[Code]]&amp;IF(A20=Tabelle6[[#This Row],[Type Name]],",","")</f>
        <v>TriggerDate = 10,</v>
      </c>
    </row>
    <row r="20" spans="1:4" x14ac:dyDescent="0.3">
      <c r="A20" t="s">
        <v>321</v>
      </c>
      <c r="B20" t="s">
        <v>69</v>
      </c>
      <c r="C20">
        <v>20</v>
      </c>
      <c r="D20" t="str">
        <f>Tabelle6[[#This Row],[Title]] &amp; " = "&amp;Tabelle6[[#This Row],[Code]]&amp;IF(A21=Tabelle6[[#This Row],[Type Name]],",","")</f>
        <v>ContingencyRate = 20</v>
      </c>
    </row>
    <row r="21" spans="1:4" ht="28.8" x14ac:dyDescent="0.3">
      <c r="A21" s="1" t="s">
        <v>481</v>
      </c>
      <c r="B21" t="s">
        <v>482</v>
      </c>
      <c r="C21">
        <v>1</v>
      </c>
      <c r="D21" t="str">
        <f>Tabelle6[[#This Row],[Title]] &amp; " = "&amp;Tabelle6[[#This Row],[Code]]&amp;IF(A22=Tabelle6[[#This Row],[Type Name]],",","")</f>
        <v>Cash = 1,</v>
      </c>
    </row>
    <row r="22" spans="1:4" ht="28.8" x14ac:dyDescent="0.3">
      <c r="A22" s="1" t="s">
        <v>481</v>
      </c>
      <c r="B22" t="s">
        <v>483</v>
      </c>
      <c r="C22">
        <v>2</v>
      </c>
      <c r="D22" t="str">
        <f>Tabelle6[[#This Row],[Title]] &amp; " = "&amp;Tabelle6[[#This Row],[Code]]&amp;IF(A23=Tabelle6[[#This Row],[Type Name]],",","")</f>
        <v>CashDefault = 2,</v>
      </c>
    </row>
    <row r="23" spans="1:4" ht="28.8" x14ac:dyDescent="0.3">
      <c r="A23" s="1" t="s">
        <v>481</v>
      </c>
      <c r="B23" t="s">
        <v>485</v>
      </c>
      <c r="C23">
        <v>3</v>
      </c>
      <c r="D23" t="str">
        <f>Tabelle6[[#This Row],[Title]] &amp; " = "&amp;Tabelle6[[#This Row],[Code]]&amp;IF(A24=Tabelle6[[#This Row],[Type Name]],",","")</f>
        <v>Payables = 3,</v>
      </c>
    </row>
    <row r="24" spans="1:4" x14ac:dyDescent="0.3">
      <c r="A24" t="s">
        <v>481</v>
      </c>
      <c r="B24" t="s">
        <v>484</v>
      </c>
      <c r="C24">
        <v>4</v>
      </c>
      <c r="D24" t="str">
        <f>Tabelle6[[#This Row],[Title]] &amp; " = "&amp;Tabelle6[[#This Row],[Code]]&amp;IF(A25=Tabelle6[[#This Row],[Type Name]],",","")</f>
        <v>PayablesDefault = 4,</v>
      </c>
    </row>
    <row r="25" spans="1:4" x14ac:dyDescent="0.3">
      <c r="A25" t="s">
        <v>481</v>
      </c>
      <c r="B25" t="s">
        <v>560</v>
      </c>
      <c r="C25">
        <v>5</v>
      </c>
      <c r="D25" t="str">
        <f>Tabelle6[[#This Row],[Title]] &amp; " = "&amp;Tabelle6[[#This Row],[Code]]&amp;IF(A26=Tabelle6[[#This Row],[Type Name]],",","")</f>
        <v>AdvanceReceived = 5,</v>
      </c>
    </row>
    <row r="26" spans="1:4" x14ac:dyDescent="0.3">
      <c r="A26" t="s">
        <v>481</v>
      </c>
      <c r="B26" t="s">
        <v>561</v>
      </c>
      <c r="C26">
        <v>6</v>
      </c>
      <c r="D26" t="str">
        <f>Tabelle6[[#This Row],[Title]] &amp; " = "&amp;Tabelle6[[#This Row],[Code]]&amp;IF(A27=Tabelle6[[#This Row],[Type Name]],",","")</f>
        <v>AdvanceReceivedDefault = 6,</v>
      </c>
    </row>
    <row r="27" spans="1:4" x14ac:dyDescent="0.3">
      <c r="A27" t="s">
        <v>481</v>
      </c>
      <c r="B27" t="s">
        <v>868</v>
      </c>
      <c r="C27">
        <v>11</v>
      </c>
      <c r="D27" t="str">
        <f>Tabelle6[[#This Row],[Title]] &amp; " = "&amp;Tabelle6[[#This Row],[Code]]&amp;IF(A28=Tabelle6[[#This Row],[Type Name]],",","")</f>
        <v>SalaryDefault = 11</v>
      </c>
    </row>
    <row r="28" spans="1:4" x14ac:dyDescent="0.3">
      <c r="A28" t="s">
        <v>319</v>
      </c>
      <c r="B28" t="s">
        <v>507</v>
      </c>
      <c r="C28">
        <v>0</v>
      </c>
      <c r="D28" t="str">
        <f>Tabelle6[[#This Row],[Title]] &amp; " = "&amp;Tabelle6[[#This Row],[Code]]&amp;IF(A29=Tabelle6[[#This Row],[Type Name]],",","")</f>
        <v>Linear = 0</v>
      </c>
    </row>
    <row r="29" spans="1:4" x14ac:dyDescent="0.3">
      <c r="A29" t="s">
        <v>547</v>
      </c>
      <c r="B29" t="s">
        <v>550</v>
      </c>
      <c r="C29">
        <v>-1</v>
      </c>
      <c r="D29" t="str">
        <f>Tabelle6[[#This Row],[Title]] &amp; " = "&amp;Tabelle6[[#This Row],[Code]]&amp;IF(A30=Tabelle6[[#This Row],[Type Name]],",","")</f>
        <v>NoUser = -1,</v>
      </c>
    </row>
    <row r="30" spans="1:4" x14ac:dyDescent="0.3">
      <c r="A30" t="s">
        <v>547</v>
      </c>
      <c r="B30" t="s">
        <v>548</v>
      </c>
      <c r="C30">
        <v>0</v>
      </c>
      <c r="D30" t="str">
        <f>Tabelle6[[#This Row],[Title]] &amp; " = "&amp;Tabelle6[[#This Row],[Code]]&amp;IF(A31=Tabelle6[[#This Row],[Type Name]],",","")</f>
        <v>Standard = 0,</v>
      </c>
    </row>
    <row r="31" spans="1:4" x14ac:dyDescent="0.3">
      <c r="A31" t="s">
        <v>547</v>
      </c>
      <c r="B31" t="s">
        <v>549</v>
      </c>
      <c r="C31">
        <v>1</v>
      </c>
      <c r="D31" t="str">
        <f>Tabelle6[[#This Row],[Title]] &amp; " = "&amp;Tabelle6[[#This Row],[Code]]&amp;IF(A32=Tabelle6[[#This Row],[Type Name]],",","")</f>
        <v>Admin = 1</v>
      </c>
    </row>
    <row r="32" spans="1:4" x14ac:dyDescent="0.3">
      <c r="A32" t="s">
        <v>573</v>
      </c>
      <c r="B32" s="1" t="s">
        <v>580</v>
      </c>
      <c r="C32" t="s">
        <v>575</v>
      </c>
      <c r="D32" t="str">
        <f>Tabelle6[[#This Row],[Title]] &amp; " = "&amp;Tabelle6[[#This Row],[Code]]&amp;IF(A33=Tabelle6[[#This Row],[Type Name]],",","")</f>
        <v>Employee = E,</v>
      </c>
    </row>
    <row r="33" spans="1:4" x14ac:dyDescent="0.3">
      <c r="A33" t="s">
        <v>573</v>
      </c>
      <c r="B33" t="s">
        <v>578</v>
      </c>
      <c r="C33" t="s">
        <v>574</v>
      </c>
      <c r="D33" t="str">
        <f>Tabelle6[[#This Row],[Title]] &amp; " = "&amp;Tabelle6[[#This Row],[Code]]&amp;IF(A34=Tabelle6[[#This Row],[Type Name]],",","")</f>
        <v>Inventory = I,</v>
      </c>
    </row>
    <row r="34" spans="1:4" x14ac:dyDescent="0.3">
      <c r="A34" t="s">
        <v>573</v>
      </c>
      <c r="B34" t="s">
        <v>438</v>
      </c>
      <c r="C34" t="s">
        <v>576</v>
      </c>
      <c r="D34" t="str">
        <f>Tabelle6[[#This Row],[Title]] &amp; " = "&amp;Tabelle6[[#This Row],[Code]]&amp;IF(A35=Tabelle6[[#This Row],[Type Name]],",","")</f>
        <v>Contract = C,</v>
      </c>
    </row>
    <row r="35" spans="1:4" x14ac:dyDescent="0.3">
      <c r="A35" t="s">
        <v>573</v>
      </c>
      <c r="B35" t="s">
        <v>579</v>
      </c>
      <c r="C35" t="s">
        <v>577</v>
      </c>
      <c r="D35" t="str">
        <f>Tabelle6[[#This Row],[Title]] &amp; " = "&amp;Tabelle6[[#This Row],[Code]]&amp;IF(A36=Tabelle6[[#This Row],[Type Name]],",","")</f>
        <v>Project = P</v>
      </c>
    </row>
    <row r="36" spans="1:4" x14ac:dyDescent="0.3">
      <c r="A36" t="s">
        <v>171</v>
      </c>
      <c r="B36" s="5" t="s">
        <v>827</v>
      </c>
      <c r="C36">
        <v>0</v>
      </c>
      <c r="D36" t="str">
        <f>Tabelle6[[#This Row],[Title]] &amp; " = "&amp;Tabelle6[[#This Row],[Code]]&amp;IF(A37=Tabelle6[[#This Row],[Type Name]],",","")</f>
        <v>P_L = 0,</v>
      </c>
    </row>
    <row r="37" spans="1:4" x14ac:dyDescent="0.3">
      <c r="A37" t="s">
        <v>171</v>
      </c>
      <c r="B37" t="s">
        <v>586</v>
      </c>
      <c r="C37">
        <v>1</v>
      </c>
      <c r="D37" t="str">
        <f>Tabelle6[[#This Row],[Title]] &amp; " = "&amp;Tabelle6[[#This Row],[Code]]&amp;IF(A38=Tabelle6[[#This Row],[Type Name]],",","")</f>
        <v>Assets = 1,</v>
      </c>
    </row>
    <row r="38" spans="1:4" x14ac:dyDescent="0.3">
      <c r="A38" t="s">
        <v>171</v>
      </c>
      <c r="B38" t="s">
        <v>585</v>
      </c>
      <c r="C38">
        <v>2</v>
      </c>
      <c r="D38" t="str">
        <f>Tabelle6[[#This Row],[Title]] &amp; " = "&amp;Tabelle6[[#This Row],[Code]]&amp;IF(A39=Tabelle6[[#This Row],[Type Name]],",","")</f>
        <v>Liabilities = 2,</v>
      </c>
    </row>
    <row r="39" spans="1:4" x14ac:dyDescent="0.3">
      <c r="A39" t="s">
        <v>171</v>
      </c>
      <c r="B39" t="s">
        <v>826</v>
      </c>
      <c r="C39">
        <v>3</v>
      </c>
      <c r="D39" t="str">
        <f>Tabelle6[[#This Row],[Title]] &amp; " = "&amp;Tabelle6[[#This Row],[Code]]&amp;IF(A40=Tabelle6[[#This Row],[Type Name]],",","")</f>
        <v>Other = 3</v>
      </c>
    </row>
    <row r="40" spans="1:4" x14ac:dyDescent="0.3">
      <c r="A40" t="s">
        <v>319</v>
      </c>
      <c r="B40" t="s">
        <v>507</v>
      </c>
      <c r="C40">
        <v>0</v>
      </c>
      <c r="D40" t="str">
        <f>Tabelle6[[#This Row],[Title]] &amp; " = "&amp;Tabelle6[[#This Row],[Code]]&amp;IF(A41=Tabelle6[[#This Row],[Type Name]],",","")</f>
        <v>Linear = 0</v>
      </c>
    </row>
    <row r="41" spans="1:4" x14ac:dyDescent="0.3">
      <c r="A41" t="s">
        <v>597</v>
      </c>
      <c r="B41" t="s">
        <v>434</v>
      </c>
      <c r="C41">
        <v>1</v>
      </c>
      <c r="D41" t="str">
        <f>Tabelle6[[#This Row],[Title]] &amp; " = "&amp;Tabelle6[[#This Row],[Code]]&amp;IF(A42=Tabelle6[[#This Row],[Type Name]],",","")</f>
        <v>Monthly = 1,</v>
      </c>
    </row>
    <row r="42" spans="1:4" x14ac:dyDescent="0.3">
      <c r="A42" t="s">
        <v>597</v>
      </c>
      <c r="B42" t="s">
        <v>435</v>
      </c>
      <c r="C42">
        <v>3</v>
      </c>
      <c r="D42" t="str">
        <f>Tabelle6[[#This Row],[Title]] &amp; " = "&amp;Tabelle6[[#This Row],[Code]]&amp;IF(A43=Tabelle6[[#This Row],[Type Name]],",","")</f>
        <v>Quarterly = 3,</v>
      </c>
    </row>
    <row r="43" spans="1:4" x14ac:dyDescent="0.3">
      <c r="A43" t="s">
        <v>597</v>
      </c>
      <c r="B43" t="s">
        <v>587</v>
      </c>
      <c r="C43">
        <v>6</v>
      </c>
      <c r="D43" t="str">
        <f>Tabelle6[[#This Row],[Title]] &amp; " = "&amp;Tabelle6[[#This Row],[Code]]&amp;IF(A44=Tabelle6[[#This Row],[Type Name]],",","")</f>
        <v>Semiannually = 6,</v>
      </c>
    </row>
    <row r="44" spans="1:4" x14ac:dyDescent="0.3">
      <c r="A44" t="s">
        <v>597</v>
      </c>
      <c r="B44" t="s">
        <v>436</v>
      </c>
      <c r="C44">
        <v>12</v>
      </c>
      <c r="D44" t="str">
        <f>Tabelle6[[#This Row],[Title]] &amp; " = "&amp;Tabelle6[[#This Row],[Code]]&amp;IF(A45=Tabelle6[[#This Row],[Type Name]],",","")</f>
        <v>Annually = 12</v>
      </c>
    </row>
    <row r="45" spans="1:4" ht="28.8" x14ac:dyDescent="0.3">
      <c r="A45" s="1" t="s">
        <v>721</v>
      </c>
      <c r="B45" t="s">
        <v>722</v>
      </c>
      <c r="C45">
        <v>0</v>
      </c>
      <c r="D45" t="str">
        <f>Tabelle6[[#This Row],[Title]] &amp; " = "&amp;Tabelle6[[#This Row],[Code]]&amp;IF(A46=Tabelle6[[#This Row],[Type Name]],",","")</f>
        <v>Distribute = 0,</v>
      </c>
    </row>
    <row r="46" spans="1:4" ht="28.8" x14ac:dyDescent="0.3">
      <c r="A46" s="1" t="s">
        <v>721</v>
      </c>
      <c r="B46" t="s">
        <v>723</v>
      </c>
      <c r="C46">
        <v>1</v>
      </c>
      <c r="D46" t="str">
        <f>Tabelle6[[#This Row],[Title]] &amp; " = "&amp;Tabelle6[[#This Row],[Code]]&amp;IF(A47=Tabelle6[[#This Row],[Type Name]],",","")</f>
        <v>Add = 1,</v>
      </c>
    </row>
    <row r="47" spans="1:4" ht="28.8" x14ac:dyDescent="0.3">
      <c r="A47" s="1" t="s">
        <v>721</v>
      </c>
      <c r="B47" t="s">
        <v>724</v>
      </c>
      <c r="C47">
        <v>2</v>
      </c>
      <c r="D47" t="str">
        <f>Tabelle6[[#This Row],[Title]] &amp; " = "&amp;Tabelle6[[#This Row],[Code]]&amp;IF(A48=Tabelle6[[#This Row],[Type Name]],",","")</f>
        <v>Exclude = 2</v>
      </c>
    </row>
    <row r="48" spans="1:4" x14ac:dyDescent="0.3">
      <c r="A48" s="1" t="s">
        <v>763</v>
      </c>
      <c r="B48" t="s">
        <v>767</v>
      </c>
      <c r="C48">
        <v>1</v>
      </c>
      <c r="D48" t="str">
        <f>Tabelle6[[#This Row],[Title]] &amp; " = "&amp;Tabelle6[[#This Row],[Code]]&amp;IF(A49=Tabelle6[[#This Row],[Type Name]],",","")</f>
        <v>JournalImport = 1,</v>
      </c>
    </row>
    <row r="49" spans="1:4" x14ac:dyDescent="0.3">
      <c r="A49" s="1" t="s">
        <v>763</v>
      </c>
      <c r="B49" t="s">
        <v>768</v>
      </c>
      <c r="C49">
        <v>2</v>
      </c>
      <c r="D49" t="str">
        <f>Tabelle6[[#This Row],[Title]] &amp; " = "&amp;Tabelle6[[#This Row],[Code]]&amp;IF(A50=Tabelle6[[#This Row],[Type Name]],",","")</f>
        <v>PlanImport = 2,</v>
      </c>
    </row>
    <row r="50" spans="1:4" x14ac:dyDescent="0.3">
      <c r="A50" s="1" t="s">
        <v>763</v>
      </c>
      <c r="B50" t="s">
        <v>769</v>
      </c>
      <c r="C50">
        <v>3</v>
      </c>
      <c r="D50" t="str">
        <f>Tabelle6[[#This Row],[Title]] &amp; " = "&amp;Tabelle6[[#This Row],[Code]]&amp;IF(A51=Tabelle6[[#This Row],[Type Name]],",","")</f>
        <v>PlanImplement = 3</v>
      </c>
    </row>
    <row r="51" spans="1:4" x14ac:dyDescent="0.3">
      <c r="A51" t="s">
        <v>766</v>
      </c>
      <c r="B51" t="s">
        <v>770</v>
      </c>
      <c r="C51">
        <v>1</v>
      </c>
      <c r="D51" t="str">
        <f>Tabelle6[[#This Row],[Title]] &amp; " = "&amp;Tabelle6[[#This Row],[Code]]&amp;IF(A52=Tabelle6[[#This Row],[Type Name]],",","")</f>
        <v>Success = 1,</v>
      </c>
    </row>
    <row r="52" spans="1:4" x14ac:dyDescent="0.3">
      <c r="A52" t="s">
        <v>766</v>
      </c>
      <c r="B52" t="s">
        <v>771</v>
      </c>
      <c r="C52">
        <v>2</v>
      </c>
      <c r="D52" t="str">
        <f>Tabelle6[[#This Row],[Title]] &amp; " = "&amp;Tabelle6[[#This Row],[Code]]&amp;IF(A53=Tabelle6[[#This Row],[Type Name]],",","")</f>
        <v>Error = 2,</v>
      </c>
    </row>
    <row r="53" spans="1:4" x14ac:dyDescent="0.3">
      <c r="A53" t="s">
        <v>766</v>
      </c>
      <c r="B53" t="s">
        <v>772</v>
      </c>
      <c r="C53">
        <v>3</v>
      </c>
      <c r="D53" t="str">
        <f>Tabelle6[[#This Row],[Title]] &amp; " = "&amp;Tabelle6[[#This Row],[Code]]&amp;IF(A54=Tabelle6[[#This Row],[Type Name]],",","")</f>
        <v>Warning = 3</v>
      </c>
    </row>
    <row r="54" spans="1:4" x14ac:dyDescent="0.3">
      <c r="A54" s="11" t="s">
        <v>785</v>
      </c>
      <c r="B54" s="5" t="s">
        <v>441</v>
      </c>
      <c r="C54" s="5">
        <v>0</v>
      </c>
      <c r="D54" t="str">
        <f>Tabelle6[[#This Row],[Title]] &amp; " = "&amp;Tabelle6[[#This Row],[Code]]&amp;IF(A55=Tabelle6[[#This Row],[Type Name]],",","")</f>
        <v>Actual = 0,</v>
      </c>
    </row>
    <row r="55" spans="1:4" x14ac:dyDescent="0.3">
      <c r="A55" s="11" t="s">
        <v>785</v>
      </c>
      <c r="B55" t="s">
        <v>440</v>
      </c>
      <c r="C55">
        <v>1</v>
      </c>
      <c r="D55" t="str">
        <f>Tabelle6[[#This Row],[Title]] &amp; " = "&amp;Tabelle6[[#This Row],[Code]]&amp;IF(A56=Tabelle6[[#This Row],[Type Name]],",","")</f>
        <v>Baseline = 1,</v>
      </c>
    </row>
    <row r="56" spans="1:4" x14ac:dyDescent="0.3">
      <c r="A56" s="11" t="s">
        <v>785</v>
      </c>
      <c r="B56" t="s">
        <v>342</v>
      </c>
      <c r="C56">
        <v>2</v>
      </c>
      <c r="D56" t="str">
        <f>Tabelle6[[#This Row],[Title]] &amp; " = "&amp;Tabelle6[[#This Row],[Code]]&amp;IF(A57=Tabelle6[[#This Row],[Type Name]],",","")</f>
        <v>Plan = 2,</v>
      </c>
    </row>
    <row r="57" spans="1:4" x14ac:dyDescent="0.3">
      <c r="A57" s="11" t="s">
        <v>785</v>
      </c>
      <c r="B57" t="s">
        <v>867</v>
      </c>
      <c r="C57">
        <v>3</v>
      </c>
      <c r="D57" t="str">
        <f>Tabelle6[[#This Row],[Title]] &amp; " = "&amp;Tabelle6[[#This Row],[Code]]&amp;IF(A58=Tabelle6[[#This Row],[Type Name]],",","")</f>
        <v>New = 3,</v>
      </c>
    </row>
    <row r="58" spans="1:4" x14ac:dyDescent="0.3">
      <c r="A58" s="11" t="s">
        <v>785</v>
      </c>
      <c r="B58" t="s">
        <v>866</v>
      </c>
      <c r="C58">
        <v>9</v>
      </c>
      <c r="D58" t="str">
        <f>Tabelle6[[#This Row],[Title]] &amp; " = "&amp;Tabelle6[[#This Row],[Code]]&amp;IF(A59=Tabelle6[[#This Row],[Type Name]],",","")</f>
        <v>Historical = 9,</v>
      </c>
    </row>
    <row r="59" spans="1:4" x14ac:dyDescent="0.3">
      <c r="A59" s="10" t="s">
        <v>785</v>
      </c>
      <c r="B59" t="s">
        <v>869</v>
      </c>
      <c r="C59">
        <v>-1</v>
      </c>
      <c r="D59" t="str">
        <f>Tabelle6[[#This Row],[Title]] &amp; " = "&amp;Tabelle6[[#This Row],[Code]]&amp;IF(A60=Tabelle6[[#This Row],[Type Name]],",","")</f>
        <v>Obsolete = -1</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108"/>
  <sheetViews>
    <sheetView workbookViewId="0">
      <selection activeCell="D108" sqref="D108"/>
    </sheetView>
  </sheetViews>
  <sheetFormatPr defaultColWidth="11.44140625" defaultRowHeight="14.4" x14ac:dyDescent="0.3"/>
  <cols>
    <col min="3" max="3" width="15.44140625" customWidth="1"/>
    <col min="4" max="4" width="144.88671875" customWidth="1"/>
  </cols>
  <sheetData>
    <row r="1" spans="1:5" x14ac:dyDescent="0.3">
      <c r="A1" t="s">
        <v>93</v>
      </c>
      <c r="B1" t="s">
        <v>22</v>
      </c>
      <c r="C1" t="s">
        <v>397</v>
      </c>
      <c r="D1" t="s">
        <v>3</v>
      </c>
      <c r="E1" t="s">
        <v>324</v>
      </c>
    </row>
    <row r="2" spans="1:5" ht="28.8" hidden="1" x14ac:dyDescent="0.3">
      <c r="A2" s="3">
        <v>43951</v>
      </c>
      <c r="B2" t="s">
        <v>119</v>
      </c>
      <c r="C2" t="s">
        <v>620</v>
      </c>
      <c r="D2" s="1" t="s">
        <v>94</v>
      </c>
      <c r="E2" t="s">
        <v>389</v>
      </c>
    </row>
    <row r="3" spans="1:5" hidden="1" x14ac:dyDescent="0.3">
      <c r="A3" s="3">
        <v>43951</v>
      </c>
      <c r="B3" t="s">
        <v>120</v>
      </c>
      <c r="C3" t="s">
        <v>342</v>
      </c>
      <c r="D3" s="1" t="s">
        <v>613</v>
      </c>
    </row>
    <row r="4" spans="1:5" hidden="1" x14ac:dyDescent="0.3">
      <c r="A4" s="3">
        <v>43951</v>
      </c>
      <c r="B4" t="s">
        <v>120</v>
      </c>
      <c r="C4" t="s">
        <v>342</v>
      </c>
      <c r="D4" s="1" t="s">
        <v>614</v>
      </c>
    </row>
    <row r="5" spans="1:5" ht="28.8" hidden="1" x14ac:dyDescent="0.3">
      <c r="A5" s="3">
        <v>43951</v>
      </c>
      <c r="B5" t="s">
        <v>119</v>
      </c>
      <c r="D5" s="1" t="s">
        <v>105</v>
      </c>
      <c r="E5" t="s">
        <v>389</v>
      </c>
    </row>
    <row r="6" spans="1:5" hidden="1" x14ac:dyDescent="0.3">
      <c r="A6" s="3">
        <v>43951</v>
      </c>
      <c r="B6" t="s">
        <v>120</v>
      </c>
      <c r="C6" t="s">
        <v>342</v>
      </c>
      <c r="D6" s="1" t="s">
        <v>121</v>
      </c>
    </row>
    <row r="7" spans="1:5" ht="28.8" hidden="1" x14ac:dyDescent="0.3">
      <c r="A7" s="3">
        <v>43951</v>
      </c>
      <c r="B7" t="s">
        <v>120</v>
      </c>
      <c r="C7" t="s">
        <v>348</v>
      </c>
      <c r="D7" s="1" t="s">
        <v>122</v>
      </c>
    </row>
    <row r="8" spans="1:5" hidden="1" x14ac:dyDescent="0.3">
      <c r="A8" s="3">
        <v>43951</v>
      </c>
      <c r="B8" t="s">
        <v>120</v>
      </c>
      <c r="C8" t="s">
        <v>621</v>
      </c>
      <c r="D8" s="1" t="s">
        <v>622</v>
      </c>
    </row>
    <row r="9" spans="1:5" hidden="1" x14ac:dyDescent="0.3">
      <c r="A9" s="3">
        <v>43952</v>
      </c>
      <c r="B9" t="s">
        <v>120</v>
      </c>
      <c r="C9" t="s">
        <v>342</v>
      </c>
      <c r="D9" s="1" t="s">
        <v>148</v>
      </c>
    </row>
    <row r="10" spans="1:5" hidden="1" x14ac:dyDescent="0.3">
      <c r="A10" s="3">
        <v>43952</v>
      </c>
      <c r="B10" t="s">
        <v>120</v>
      </c>
      <c r="C10" t="s">
        <v>343</v>
      </c>
      <c r="D10" s="1" t="s">
        <v>623</v>
      </c>
    </row>
    <row r="11" spans="1:5" hidden="1" x14ac:dyDescent="0.3">
      <c r="A11" s="3">
        <v>43952</v>
      </c>
      <c r="B11" t="s">
        <v>153</v>
      </c>
      <c r="D11" s="1" t="s">
        <v>154</v>
      </c>
      <c r="E11" t="s">
        <v>389</v>
      </c>
    </row>
    <row r="12" spans="1:5" hidden="1" x14ac:dyDescent="0.3">
      <c r="A12" s="3">
        <v>43952</v>
      </c>
      <c r="B12" t="s">
        <v>120</v>
      </c>
      <c r="C12" t="s">
        <v>147</v>
      </c>
      <c r="D12" s="1" t="s">
        <v>155</v>
      </c>
    </row>
    <row r="13" spans="1:5" hidden="1" x14ac:dyDescent="0.3">
      <c r="A13" s="3">
        <v>43953</v>
      </c>
      <c r="B13" t="s">
        <v>120</v>
      </c>
      <c r="C13" t="s">
        <v>342</v>
      </c>
      <c r="D13" s="1" t="s">
        <v>273</v>
      </c>
    </row>
    <row r="14" spans="1:5" hidden="1" x14ac:dyDescent="0.3">
      <c r="A14" s="3">
        <v>43955</v>
      </c>
      <c r="B14" t="s">
        <v>327</v>
      </c>
      <c r="D14" s="1" t="s">
        <v>328</v>
      </c>
      <c r="E14" t="s">
        <v>389</v>
      </c>
    </row>
    <row r="15" spans="1:5" hidden="1" x14ac:dyDescent="0.3">
      <c r="A15" s="3">
        <v>43955</v>
      </c>
      <c r="B15" t="s">
        <v>327</v>
      </c>
      <c r="D15" s="1" t="s">
        <v>329</v>
      </c>
      <c r="E15" t="s">
        <v>389</v>
      </c>
    </row>
    <row r="16" spans="1:5" hidden="1" x14ac:dyDescent="0.3">
      <c r="A16" s="3">
        <v>43955</v>
      </c>
      <c r="B16" t="s">
        <v>327</v>
      </c>
      <c r="D16" s="1" t="s">
        <v>330</v>
      </c>
      <c r="E16" t="s">
        <v>389</v>
      </c>
    </row>
    <row r="17" spans="1:5" hidden="1" x14ac:dyDescent="0.3">
      <c r="A17" s="3">
        <v>43955</v>
      </c>
      <c r="B17" t="s">
        <v>327</v>
      </c>
      <c r="C17" t="s">
        <v>617</v>
      </c>
      <c r="D17" s="1" t="s">
        <v>331</v>
      </c>
      <c r="E17" t="s">
        <v>389</v>
      </c>
    </row>
    <row r="18" spans="1:5" hidden="1" x14ac:dyDescent="0.3">
      <c r="A18" s="3">
        <v>43956</v>
      </c>
      <c r="B18" t="s">
        <v>153</v>
      </c>
      <c r="D18" s="1" t="s">
        <v>386</v>
      </c>
      <c r="E18" t="s">
        <v>389</v>
      </c>
    </row>
    <row r="19" spans="1:5" hidden="1" x14ac:dyDescent="0.3">
      <c r="A19" s="3">
        <v>43956</v>
      </c>
      <c r="B19" t="s">
        <v>327</v>
      </c>
      <c r="D19" s="1" t="s">
        <v>387</v>
      </c>
      <c r="E19" t="s">
        <v>389</v>
      </c>
    </row>
    <row r="20" spans="1:5" hidden="1" x14ac:dyDescent="0.3">
      <c r="A20" s="3">
        <v>43956</v>
      </c>
      <c r="B20" t="s">
        <v>327</v>
      </c>
      <c r="D20" s="1" t="s">
        <v>390</v>
      </c>
      <c r="E20" t="s">
        <v>389</v>
      </c>
    </row>
    <row r="21" spans="1:5" hidden="1" x14ac:dyDescent="0.3">
      <c r="A21" s="3">
        <v>43956</v>
      </c>
      <c r="B21" t="s">
        <v>153</v>
      </c>
      <c r="C21" t="s">
        <v>503</v>
      </c>
      <c r="D21" s="1" t="s">
        <v>391</v>
      </c>
      <c r="E21" t="s">
        <v>389</v>
      </c>
    </row>
    <row r="22" spans="1:5" hidden="1" x14ac:dyDescent="0.3">
      <c r="A22" s="3">
        <v>43958</v>
      </c>
      <c r="B22" t="s">
        <v>327</v>
      </c>
      <c r="C22" t="s">
        <v>503</v>
      </c>
      <c r="D22" s="1" t="s">
        <v>396</v>
      </c>
    </row>
    <row r="23" spans="1:5" hidden="1" x14ac:dyDescent="0.3">
      <c r="A23" s="3">
        <v>43958</v>
      </c>
      <c r="B23" t="s">
        <v>327</v>
      </c>
      <c r="C23" t="s">
        <v>398</v>
      </c>
      <c r="D23" s="1" t="s">
        <v>399</v>
      </c>
      <c r="E23" t="s">
        <v>389</v>
      </c>
    </row>
    <row r="24" spans="1:5" hidden="1" x14ac:dyDescent="0.3">
      <c r="A24" s="3">
        <v>43958</v>
      </c>
      <c r="B24" t="s">
        <v>327</v>
      </c>
      <c r="C24" t="s">
        <v>617</v>
      </c>
      <c r="D24" s="1" t="s">
        <v>618</v>
      </c>
    </row>
    <row r="25" spans="1:5" hidden="1" x14ac:dyDescent="0.3">
      <c r="A25" s="3">
        <v>43958</v>
      </c>
      <c r="B25" t="s">
        <v>327</v>
      </c>
      <c r="C25" t="s">
        <v>615</v>
      </c>
      <c r="D25" s="1" t="s">
        <v>619</v>
      </c>
    </row>
    <row r="26" spans="1:5" hidden="1" x14ac:dyDescent="0.3">
      <c r="A26" s="3">
        <v>43961</v>
      </c>
      <c r="B26" t="s">
        <v>327</v>
      </c>
      <c r="D26" s="1" t="s">
        <v>403</v>
      </c>
      <c r="E26" t="s">
        <v>389</v>
      </c>
    </row>
    <row r="27" spans="1:5" hidden="1" x14ac:dyDescent="0.3">
      <c r="A27" s="3">
        <v>43961</v>
      </c>
      <c r="B27" t="s">
        <v>327</v>
      </c>
      <c r="D27" s="1" t="s">
        <v>404</v>
      </c>
      <c r="E27" t="s">
        <v>389</v>
      </c>
    </row>
    <row r="28" spans="1:5" hidden="1" x14ac:dyDescent="0.3">
      <c r="A28" s="3">
        <v>43961</v>
      </c>
      <c r="B28" t="s">
        <v>327</v>
      </c>
      <c r="D28" s="1" t="s">
        <v>405</v>
      </c>
      <c r="E28" t="s">
        <v>389</v>
      </c>
    </row>
    <row r="29" spans="1:5" hidden="1" x14ac:dyDescent="0.3">
      <c r="A29" s="3">
        <v>43961</v>
      </c>
      <c r="B29" t="s">
        <v>327</v>
      </c>
      <c r="C29" t="s">
        <v>406</v>
      </c>
      <c r="D29" s="1" t="s">
        <v>418</v>
      </c>
      <c r="E29" t="s">
        <v>389</v>
      </c>
    </row>
    <row r="30" spans="1:5" hidden="1" x14ac:dyDescent="0.3">
      <c r="A30" s="3">
        <v>43961</v>
      </c>
      <c r="B30" t="s">
        <v>327</v>
      </c>
      <c r="C30" t="s">
        <v>406</v>
      </c>
      <c r="D30" s="1" t="s">
        <v>414</v>
      </c>
      <c r="E30" t="s">
        <v>389</v>
      </c>
    </row>
    <row r="31" spans="1:5" hidden="1" x14ac:dyDescent="0.3">
      <c r="A31" s="3">
        <v>43961</v>
      </c>
      <c r="B31" t="s">
        <v>327</v>
      </c>
      <c r="C31" t="s">
        <v>406</v>
      </c>
      <c r="D31" s="1" t="s">
        <v>409</v>
      </c>
      <c r="E31" t="s">
        <v>389</v>
      </c>
    </row>
    <row r="32" spans="1:5" hidden="1" x14ac:dyDescent="0.3">
      <c r="A32" s="3">
        <v>43961</v>
      </c>
      <c r="B32" t="s">
        <v>327</v>
      </c>
      <c r="C32" t="s">
        <v>406</v>
      </c>
      <c r="D32" s="1" t="s">
        <v>422</v>
      </c>
      <c r="E32" t="s">
        <v>389</v>
      </c>
    </row>
    <row r="33" spans="1:5" hidden="1" x14ac:dyDescent="0.3">
      <c r="A33" s="3">
        <v>43961</v>
      </c>
      <c r="B33" t="s">
        <v>327</v>
      </c>
      <c r="C33" t="s">
        <v>406</v>
      </c>
      <c r="D33" s="1" t="s">
        <v>410</v>
      </c>
      <c r="E33" t="s">
        <v>389</v>
      </c>
    </row>
    <row r="34" spans="1:5" hidden="1" x14ac:dyDescent="0.3">
      <c r="A34" s="3">
        <v>43961</v>
      </c>
      <c r="B34" t="s">
        <v>327</v>
      </c>
      <c r="C34" t="s">
        <v>406</v>
      </c>
      <c r="D34" s="1" t="s">
        <v>408</v>
      </c>
      <c r="E34" t="s">
        <v>389</v>
      </c>
    </row>
    <row r="35" spans="1:5" hidden="1" x14ac:dyDescent="0.3">
      <c r="A35" s="3">
        <v>43961</v>
      </c>
      <c r="B35" t="s">
        <v>327</v>
      </c>
      <c r="C35" t="s">
        <v>406</v>
      </c>
      <c r="D35" s="1" t="s">
        <v>413</v>
      </c>
      <c r="E35" t="s">
        <v>389</v>
      </c>
    </row>
    <row r="36" spans="1:5" hidden="1" x14ac:dyDescent="0.3">
      <c r="A36" s="3">
        <v>43961</v>
      </c>
      <c r="B36" t="s">
        <v>327</v>
      </c>
      <c r="C36" t="s">
        <v>406</v>
      </c>
      <c r="D36" s="1" t="s">
        <v>552</v>
      </c>
      <c r="E36" t="s">
        <v>389</v>
      </c>
    </row>
    <row r="37" spans="1:5" hidden="1" x14ac:dyDescent="0.3">
      <c r="A37" s="3">
        <v>43961</v>
      </c>
      <c r="B37" t="s">
        <v>327</v>
      </c>
      <c r="C37" t="s">
        <v>615</v>
      </c>
      <c r="D37" s="1" t="s">
        <v>407</v>
      </c>
      <c r="E37" t="s">
        <v>389</v>
      </c>
    </row>
    <row r="38" spans="1:5" hidden="1" x14ac:dyDescent="0.3">
      <c r="A38" s="3">
        <v>43961</v>
      </c>
      <c r="B38" t="s">
        <v>327</v>
      </c>
      <c r="C38" t="s">
        <v>406</v>
      </c>
      <c r="D38" s="1" t="s">
        <v>415</v>
      </c>
      <c r="E38" t="s">
        <v>389</v>
      </c>
    </row>
    <row r="39" spans="1:5" hidden="1" x14ac:dyDescent="0.3">
      <c r="A39" s="3">
        <v>43961</v>
      </c>
      <c r="B39" t="s">
        <v>327</v>
      </c>
      <c r="C39" t="s">
        <v>406</v>
      </c>
      <c r="D39" s="1" t="s">
        <v>446</v>
      </c>
      <c r="E39" t="s">
        <v>389</v>
      </c>
    </row>
    <row r="40" spans="1:5" hidden="1" x14ac:dyDescent="0.3">
      <c r="A40" s="3">
        <v>43961</v>
      </c>
      <c r="B40" t="s">
        <v>327</v>
      </c>
      <c r="C40" t="s">
        <v>615</v>
      </c>
      <c r="D40" s="1" t="s">
        <v>411</v>
      </c>
      <c r="E40" t="s">
        <v>389</v>
      </c>
    </row>
    <row r="41" spans="1:5" hidden="1" x14ac:dyDescent="0.3">
      <c r="A41" s="3">
        <v>43961</v>
      </c>
      <c r="B41" t="s">
        <v>327</v>
      </c>
      <c r="C41" t="s">
        <v>615</v>
      </c>
      <c r="D41" s="1" t="s">
        <v>412</v>
      </c>
    </row>
    <row r="42" spans="1:5" hidden="1" x14ac:dyDescent="0.3">
      <c r="A42" s="3">
        <v>43961</v>
      </c>
      <c r="B42" t="s">
        <v>327</v>
      </c>
      <c r="C42" t="s">
        <v>615</v>
      </c>
      <c r="D42" s="1" t="s">
        <v>416</v>
      </c>
      <c r="E42" t="s">
        <v>389</v>
      </c>
    </row>
    <row r="43" spans="1:5" hidden="1" x14ac:dyDescent="0.3">
      <c r="A43" s="3">
        <v>43961</v>
      </c>
      <c r="B43" t="s">
        <v>327</v>
      </c>
      <c r="D43" s="1" t="s">
        <v>417</v>
      </c>
      <c r="E43" t="s">
        <v>389</v>
      </c>
    </row>
    <row r="44" spans="1:5" hidden="1" x14ac:dyDescent="0.3">
      <c r="A44" s="3">
        <v>43961</v>
      </c>
      <c r="B44" t="s">
        <v>327</v>
      </c>
      <c r="C44" t="s">
        <v>615</v>
      </c>
      <c r="D44" s="1" t="s">
        <v>419</v>
      </c>
      <c r="E44" t="s">
        <v>389</v>
      </c>
    </row>
    <row r="45" spans="1:5" hidden="1" x14ac:dyDescent="0.3">
      <c r="A45" s="3">
        <v>43961</v>
      </c>
      <c r="B45" t="s">
        <v>327</v>
      </c>
      <c r="D45" s="1" t="s">
        <v>442</v>
      </c>
      <c r="E45" t="s">
        <v>389</v>
      </c>
    </row>
    <row r="46" spans="1:5" hidden="1" x14ac:dyDescent="0.3">
      <c r="A46" s="3">
        <v>43961</v>
      </c>
      <c r="B46" t="s">
        <v>327</v>
      </c>
      <c r="C46" t="s">
        <v>615</v>
      </c>
      <c r="D46" s="1" t="s">
        <v>447</v>
      </c>
      <c r="E46" t="s">
        <v>389</v>
      </c>
    </row>
    <row r="47" spans="1:5" hidden="1" x14ac:dyDescent="0.3">
      <c r="A47" s="3">
        <v>43961</v>
      </c>
      <c r="B47" t="s">
        <v>327</v>
      </c>
      <c r="C47" t="s">
        <v>406</v>
      </c>
      <c r="D47" s="1" t="s">
        <v>486</v>
      </c>
      <c r="E47" t="s">
        <v>389</v>
      </c>
    </row>
    <row r="48" spans="1:5" hidden="1" x14ac:dyDescent="0.3">
      <c r="A48" s="3">
        <v>43965</v>
      </c>
      <c r="B48" t="s">
        <v>327</v>
      </c>
      <c r="C48" t="s">
        <v>348</v>
      </c>
      <c r="D48" s="1" t="s">
        <v>494</v>
      </c>
    </row>
    <row r="49" spans="1:5" hidden="1" x14ac:dyDescent="0.3">
      <c r="A49" s="3">
        <v>43965</v>
      </c>
      <c r="B49" t="s">
        <v>327</v>
      </c>
      <c r="C49" t="s">
        <v>495</v>
      </c>
      <c r="D49" s="1" t="s">
        <v>496</v>
      </c>
      <c r="E49" t="s">
        <v>389</v>
      </c>
    </row>
    <row r="50" spans="1:5" hidden="1" x14ac:dyDescent="0.3">
      <c r="A50" s="3">
        <v>43965</v>
      </c>
      <c r="B50" t="s">
        <v>327</v>
      </c>
      <c r="C50" t="s">
        <v>495</v>
      </c>
      <c r="D50" s="1" t="s">
        <v>497</v>
      </c>
      <c r="E50" t="s">
        <v>389</v>
      </c>
    </row>
    <row r="51" spans="1:5" hidden="1" x14ac:dyDescent="0.3">
      <c r="A51" s="3">
        <v>43965</v>
      </c>
      <c r="B51" t="s">
        <v>327</v>
      </c>
      <c r="C51" t="s">
        <v>350</v>
      </c>
      <c r="D51" s="1" t="s">
        <v>498</v>
      </c>
      <c r="E51" t="s">
        <v>389</v>
      </c>
    </row>
    <row r="52" spans="1:5" hidden="1" x14ac:dyDescent="0.3">
      <c r="A52" s="3">
        <v>43965</v>
      </c>
      <c r="B52" t="s">
        <v>327</v>
      </c>
      <c r="C52" t="s">
        <v>501</v>
      </c>
      <c r="D52" s="1" t="s">
        <v>502</v>
      </c>
    </row>
    <row r="53" spans="1:5" hidden="1" x14ac:dyDescent="0.3">
      <c r="A53" s="3">
        <v>43965</v>
      </c>
      <c r="B53" t="s">
        <v>327</v>
      </c>
      <c r="C53" t="s">
        <v>503</v>
      </c>
      <c r="D53" s="1" t="s">
        <v>504</v>
      </c>
      <c r="E53" t="s">
        <v>389</v>
      </c>
    </row>
    <row r="54" spans="1:5" hidden="1" x14ac:dyDescent="0.3">
      <c r="A54" s="3">
        <v>43968</v>
      </c>
      <c r="B54" t="s">
        <v>327</v>
      </c>
      <c r="C54" t="s">
        <v>503</v>
      </c>
      <c r="D54" s="1" t="s">
        <v>526</v>
      </c>
    </row>
    <row r="55" spans="1:5" hidden="1" x14ac:dyDescent="0.3">
      <c r="A55" s="3">
        <v>43968</v>
      </c>
      <c r="B55" t="s">
        <v>327</v>
      </c>
      <c r="C55" t="s">
        <v>503</v>
      </c>
      <c r="D55" s="1" t="s">
        <v>551</v>
      </c>
    </row>
    <row r="56" spans="1:5" hidden="1" x14ac:dyDescent="0.3">
      <c r="A56" s="3">
        <v>43970</v>
      </c>
      <c r="B56" t="s">
        <v>565</v>
      </c>
      <c r="C56" t="s">
        <v>503</v>
      </c>
      <c r="D56" s="1" t="s">
        <v>566</v>
      </c>
    </row>
    <row r="57" spans="1:5" hidden="1" x14ac:dyDescent="0.3">
      <c r="A57" s="3">
        <v>43970</v>
      </c>
      <c r="B57" t="s">
        <v>327</v>
      </c>
      <c r="C57" t="s">
        <v>503</v>
      </c>
      <c r="D57" s="1" t="s">
        <v>567</v>
      </c>
      <c r="E57" t="s">
        <v>389</v>
      </c>
    </row>
    <row r="58" spans="1:5" ht="28.8" hidden="1" x14ac:dyDescent="0.3">
      <c r="A58" s="3">
        <v>43975</v>
      </c>
      <c r="B58" t="s">
        <v>327</v>
      </c>
      <c r="C58" t="s">
        <v>501</v>
      </c>
      <c r="D58" s="1" t="s">
        <v>584</v>
      </c>
    </row>
    <row r="59" spans="1:5" hidden="1" x14ac:dyDescent="0.3">
      <c r="A59" s="3">
        <v>43976</v>
      </c>
      <c r="B59" t="s">
        <v>120</v>
      </c>
      <c r="C59" t="s">
        <v>342</v>
      </c>
      <c r="D59" s="1" t="s">
        <v>604</v>
      </c>
    </row>
    <row r="60" spans="1:5" hidden="1" x14ac:dyDescent="0.3">
      <c r="A60" s="3">
        <v>43976</v>
      </c>
      <c r="B60" t="s">
        <v>120</v>
      </c>
      <c r="C60" t="s">
        <v>612</v>
      </c>
      <c r="D60" s="1" t="s">
        <v>605</v>
      </c>
      <c r="E60" t="s">
        <v>389</v>
      </c>
    </row>
    <row r="61" spans="1:5" hidden="1" x14ac:dyDescent="0.3">
      <c r="A61" s="3">
        <v>43976</v>
      </c>
      <c r="B61" t="s">
        <v>120</v>
      </c>
      <c r="C61" t="s">
        <v>612</v>
      </c>
      <c r="D61" s="1" t="s">
        <v>606</v>
      </c>
      <c r="E61" t="s">
        <v>389</v>
      </c>
    </row>
    <row r="62" spans="1:5" hidden="1" x14ac:dyDescent="0.3">
      <c r="A62" s="3">
        <v>43976</v>
      </c>
      <c r="B62" t="s">
        <v>120</v>
      </c>
      <c r="C62" t="s">
        <v>612</v>
      </c>
      <c r="D62" s="1" t="s">
        <v>607</v>
      </c>
      <c r="E62" t="s">
        <v>389</v>
      </c>
    </row>
    <row r="63" spans="1:5" hidden="1" x14ac:dyDescent="0.3">
      <c r="A63" s="3">
        <v>43976</v>
      </c>
      <c r="B63" t="s">
        <v>120</v>
      </c>
      <c r="C63" t="s">
        <v>612</v>
      </c>
      <c r="D63" s="1" t="s">
        <v>608</v>
      </c>
      <c r="E63" t="s">
        <v>389</v>
      </c>
    </row>
    <row r="64" spans="1:5" hidden="1" x14ac:dyDescent="0.3">
      <c r="A64" s="3">
        <v>43976</v>
      </c>
      <c r="B64" t="s">
        <v>120</v>
      </c>
      <c r="C64" t="s">
        <v>612</v>
      </c>
      <c r="D64" s="1" t="s">
        <v>609</v>
      </c>
      <c r="E64" t="s">
        <v>389</v>
      </c>
    </row>
    <row r="65" spans="1:5" hidden="1" x14ac:dyDescent="0.3">
      <c r="A65" s="3">
        <v>43976</v>
      </c>
      <c r="B65" t="s">
        <v>120</v>
      </c>
      <c r="C65" t="s">
        <v>612</v>
      </c>
      <c r="D65" s="1" t="s">
        <v>610</v>
      </c>
      <c r="E65" t="s">
        <v>389</v>
      </c>
    </row>
    <row r="66" spans="1:5" hidden="1" x14ac:dyDescent="0.3">
      <c r="A66" s="3">
        <v>43976</v>
      </c>
      <c r="B66" t="s">
        <v>120</v>
      </c>
      <c r="C66" t="s">
        <v>612</v>
      </c>
      <c r="D66" s="1" t="s">
        <v>611</v>
      </c>
      <c r="E66" t="s">
        <v>389</v>
      </c>
    </row>
    <row r="67" spans="1:5" hidden="1" x14ac:dyDescent="0.3">
      <c r="A67" s="3">
        <v>43976</v>
      </c>
      <c r="B67" t="s">
        <v>120</v>
      </c>
      <c r="C67" t="s">
        <v>612</v>
      </c>
      <c r="D67" s="1" t="s">
        <v>781</v>
      </c>
      <c r="E67" t="s">
        <v>389</v>
      </c>
    </row>
    <row r="68" spans="1:5" hidden="1" x14ac:dyDescent="0.3">
      <c r="A68" s="3">
        <v>43976</v>
      </c>
      <c r="B68" t="s">
        <v>120</v>
      </c>
      <c r="C68" t="s">
        <v>612</v>
      </c>
      <c r="D68" s="1" t="s">
        <v>782</v>
      </c>
      <c r="E68" t="s">
        <v>389</v>
      </c>
    </row>
    <row r="69" spans="1:5" hidden="1" x14ac:dyDescent="0.3">
      <c r="A69" s="3">
        <v>43976</v>
      </c>
      <c r="B69" t="s">
        <v>120</v>
      </c>
      <c r="C69" t="s">
        <v>612</v>
      </c>
      <c r="D69" s="1" t="s">
        <v>783</v>
      </c>
      <c r="E69" t="s">
        <v>389</v>
      </c>
    </row>
    <row r="70" spans="1:5" hidden="1" x14ac:dyDescent="0.3">
      <c r="A70" s="3">
        <v>43976</v>
      </c>
      <c r="B70" t="s">
        <v>120</v>
      </c>
      <c r="C70" t="s">
        <v>146</v>
      </c>
      <c r="D70" s="1" t="s">
        <v>730</v>
      </c>
    </row>
    <row r="71" spans="1:5" hidden="1" x14ac:dyDescent="0.3">
      <c r="A71" s="3">
        <v>43976</v>
      </c>
      <c r="B71" t="s">
        <v>120</v>
      </c>
      <c r="C71" t="s">
        <v>615</v>
      </c>
      <c r="D71" s="1" t="s">
        <v>616</v>
      </c>
    </row>
    <row r="72" spans="1:5" hidden="1" x14ac:dyDescent="0.3">
      <c r="A72" s="3">
        <v>43976</v>
      </c>
      <c r="B72" t="s">
        <v>120</v>
      </c>
      <c r="C72" t="s">
        <v>624</v>
      </c>
      <c r="D72" s="1" t="s">
        <v>625</v>
      </c>
      <c r="E72" t="s">
        <v>389</v>
      </c>
    </row>
    <row r="73" spans="1:5" hidden="1" x14ac:dyDescent="0.3">
      <c r="A73" s="3">
        <v>43976</v>
      </c>
      <c r="B73" t="s">
        <v>120</v>
      </c>
      <c r="C73" t="s">
        <v>626</v>
      </c>
      <c r="D73" s="1" t="s">
        <v>627</v>
      </c>
      <c r="E73" t="s">
        <v>389</v>
      </c>
    </row>
    <row r="74" spans="1:5" hidden="1" x14ac:dyDescent="0.3">
      <c r="A74" s="3">
        <v>43976</v>
      </c>
      <c r="B74" t="s">
        <v>120</v>
      </c>
      <c r="C74" t="s">
        <v>628</v>
      </c>
      <c r="D74" s="1" t="s">
        <v>629</v>
      </c>
      <c r="E74" t="s">
        <v>389</v>
      </c>
    </row>
    <row r="75" spans="1:5" hidden="1" x14ac:dyDescent="0.3">
      <c r="A75" s="3">
        <v>43976</v>
      </c>
      <c r="B75" t="s">
        <v>120</v>
      </c>
      <c r="C75" t="s">
        <v>630</v>
      </c>
      <c r="D75" s="1" t="s">
        <v>631</v>
      </c>
    </row>
    <row r="76" spans="1:5" hidden="1" x14ac:dyDescent="0.3">
      <c r="A76" s="3">
        <v>43978</v>
      </c>
      <c r="B76" t="s">
        <v>120</v>
      </c>
      <c r="C76" t="s">
        <v>343</v>
      </c>
      <c r="D76" s="1" t="s">
        <v>635</v>
      </c>
    </row>
    <row r="77" spans="1:5" hidden="1" x14ac:dyDescent="0.3">
      <c r="A77" s="3">
        <v>43978</v>
      </c>
      <c r="B77" t="s">
        <v>120</v>
      </c>
      <c r="C77" t="s">
        <v>626</v>
      </c>
      <c r="D77" s="1" t="s">
        <v>636</v>
      </c>
    </row>
    <row r="78" spans="1:5" hidden="1" x14ac:dyDescent="0.3">
      <c r="A78" s="3">
        <v>43982</v>
      </c>
      <c r="B78" t="s">
        <v>120</v>
      </c>
      <c r="C78" t="s">
        <v>501</v>
      </c>
      <c r="D78" s="1" t="s">
        <v>729</v>
      </c>
      <c r="E78" t="s">
        <v>389</v>
      </c>
    </row>
    <row r="79" spans="1:5" hidden="1" x14ac:dyDescent="0.3">
      <c r="A79" s="3">
        <v>43982</v>
      </c>
      <c r="B79" t="s">
        <v>120</v>
      </c>
      <c r="C79" t="s">
        <v>342</v>
      </c>
      <c r="D79" s="1" t="s">
        <v>731</v>
      </c>
    </row>
    <row r="80" spans="1:5" hidden="1" x14ac:dyDescent="0.3">
      <c r="A80" s="3">
        <v>43982</v>
      </c>
      <c r="B80" t="s">
        <v>120</v>
      </c>
      <c r="C80" t="s">
        <v>342</v>
      </c>
      <c r="D80" s="1" t="s">
        <v>732</v>
      </c>
    </row>
    <row r="81" spans="1:5" hidden="1" x14ac:dyDescent="0.3">
      <c r="A81" s="3">
        <v>43982</v>
      </c>
      <c r="B81" t="s">
        <v>120</v>
      </c>
      <c r="C81" t="s">
        <v>341</v>
      </c>
      <c r="D81" s="1" t="s">
        <v>733</v>
      </c>
      <c r="E81" t="s">
        <v>389</v>
      </c>
    </row>
    <row r="82" spans="1:5" hidden="1" x14ac:dyDescent="0.3">
      <c r="A82" s="3">
        <v>43987</v>
      </c>
      <c r="B82" t="s">
        <v>120</v>
      </c>
      <c r="C82" t="s">
        <v>749</v>
      </c>
      <c r="D82" s="1" t="s">
        <v>750</v>
      </c>
    </row>
    <row r="83" spans="1:5" hidden="1" x14ac:dyDescent="0.3">
      <c r="A83" s="3">
        <v>43987</v>
      </c>
      <c r="B83" t="s">
        <v>120</v>
      </c>
      <c r="C83" t="s">
        <v>749</v>
      </c>
      <c r="D83" s="1" t="s">
        <v>752</v>
      </c>
    </row>
    <row r="84" spans="1:5" hidden="1" x14ac:dyDescent="0.3">
      <c r="A84" s="3">
        <v>43987</v>
      </c>
      <c r="B84" t="s">
        <v>120</v>
      </c>
      <c r="C84" t="s">
        <v>749</v>
      </c>
      <c r="D84" s="1" t="s">
        <v>751</v>
      </c>
    </row>
    <row r="85" spans="1:5" hidden="1" x14ac:dyDescent="0.3">
      <c r="A85" s="3">
        <v>43987</v>
      </c>
      <c r="B85" t="s">
        <v>120</v>
      </c>
      <c r="C85" t="s">
        <v>749</v>
      </c>
      <c r="D85" s="1" t="s">
        <v>753</v>
      </c>
    </row>
    <row r="86" spans="1:5" hidden="1" x14ac:dyDescent="0.3">
      <c r="A86" s="3">
        <v>43987</v>
      </c>
      <c r="B86" t="s">
        <v>120</v>
      </c>
      <c r="C86" t="s">
        <v>754</v>
      </c>
      <c r="D86" s="1" t="s">
        <v>755</v>
      </c>
    </row>
    <row r="87" spans="1:5" hidden="1" x14ac:dyDescent="0.3">
      <c r="A87" s="3">
        <v>43988</v>
      </c>
      <c r="B87" t="s">
        <v>120</v>
      </c>
      <c r="C87" t="s">
        <v>756</v>
      </c>
      <c r="D87" s="1" t="s">
        <v>757</v>
      </c>
    </row>
    <row r="88" spans="1:5" hidden="1" x14ac:dyDescent="0.3">
      <c r="A88" s="3">
        <v>43990</v>
      </c>
      <c r="B88" t="s">
        <v>120</v>
      </c>
      <c r="C88" t="s">
        <v>749</v>
      </c>
      <c r="D88" s="1" t="s">
        <v>780</v>
      </c>
    </row>
    <row r="89" spans="1:5" hidden="1" x14ac:dyDescent="0.3">
      <c r="A89" s="3">
        <v>43992</v>
      </c>
      <c r="B89" t="s">
        <v>153</v>
      </c>
      <c r="C89" t="s">
        <v>503</v>
      </c>
      <c r="D89" s="1" t="s">
        <v>791</v>
      </c>
    </row>
    <row r="90" spans="1:5" hidden="1" x14ac:dyDescent="0.3">
      <c r="A90" s="3">
        <v>43992</v>
      </c>
      <c r="B90" t="s">
        <v>153</v>
      </c>
      <c r="C90" t="s">
        <v>756</v>
      </c>
      <c r="D90" s="1" t="s">
        <v>792</v>
      </c>
    </row>
    <row r="91" spans="1:5" hidden="1" x14ac:dyDescent="0.3">
      <c r="A91" s="3">
        <v>43999</v>
      </c>
      <c r="B91" t="s">
        <v>120</v>
      </c>
      <c r="C91" t="s">
        <v>406</v>
      </c>
      <c r="D91" s="1" t="s">
        <v>809</v>
      </c>
    </row>
    <row r="92" spans="1:5" hidden="1" x14ac:dyDescent="0.3">
      <c r="A92" s="3">
        <v>44000</v>
      </c>
      <c r="B92" t="s">
        <v>153</v>
      </c>
      <c r="C92" t="s">
        <v>349</v>
      </c>
      <c r="D92" s="1" t="s">
        <v>813</v>
      </c>
    </row>
    <row r="93" spans="1:5" hidden="1" x14ac:dyDescent="0.3">
      <c r="A93" s="3">
        <v>44001</v>
      </c>
      <c r="B93" t="s">
        <v>120</v>
      </c>
      <c r="C93" t="s">
        <v>349</v>
      </c>
      <c r="D93" s="1" t="s">
        <v>814</v>
      </c>
    </row>
    <row r="94" spans="1:5" hidden="1" x14ac:dyDescent="0.3">
      <c r="A94" s="3">
        <v>44003</v>
      </c>
      <c r="B94" t="s">
        <v>120</v>
      </c>
      <c r="C94" t="s">
        <v>849</v>
      </c>
      <c r="D94" s="1" t="s">
        <v>850</v>
      </c>
    </row>
    <row r="95" spans="1:5" hidden="1" x14ac:dyDescent="0.3">
      <c r="A95" s="3">
        <v>44003</v>
      </c>
      <c r="B95" t="s">
        <v>120</v>
      </c>
      <c r="C95" t="s">
        <v>335</v>
      </c>
      <c r="D95" s="1" t="s">
        <v>851</v>
      </c>
    </row>
    <row r="96" spans="1:5" hidden="1" x14ac:dyDescent="0.3">
      <c r="A96" s="3">
        <v>44011</v>
      </c>
      <c r="B96" t="s">
        <v>153</v>
      </c>
      <c r="C96" t="s">
        <v>852</v>
      </c>
      <c r="D96" s="1" t="s">
        <v>853</v>
      </c>
    </row>
    <row r="97" spans="1:5" hidden="1" x14ac:dyDescent="0.3">
      <c r="A97" s="3">
        <v>44019</v>
      </c>
      <c r="B97" t="s">
        <v>120</v>
      </c>
      <c r="C97" t="s">
        <v>342</v>
      </c>
      <c r="D97" s="1" t="s">
        <v>854</v>
      </c>
      <c r="E97" t="s">
        <v>860</v>
      </c>
    </row>
    <row r="98" spans="1:5" ht="28.8" hidden="1" x14ac:dyDescent="0.3">
      <c r="A98" s="3">
        <v>44027</v>
      </c>
      <c r="B98" t="s">
        <v>120</v>
      </c>
      <c r="C98" t="s">
        <v>342</v>
      </c>
      <c r="D98" s="1" t="s">
        <v>861</v>
      </c>
      <c r="E98" t="s">
        <v>860</v>
      </c>
    </row>
    <row r="99" spans="1:5" hidden="1" x14ac:dyDescent="0.3">
      <c r="A99" s="3">
        <v>44027</v>
      </c>
      <c r="B99" t="s">
        <v>857</v>
      </c>
      <c r="C99" t="s">
        <v>858</v>
      </c>
      <c r="D99" s="1" t="s">
        <v>859</v>
      </c>
      <c r="E99" t="s">
        <v>860</v>
      </c>
    </row>
    <row r="100" spans="1:5" x14ac:dyDescent="0.3">
      <c r="A100" s="3">
        <v>44507</v>
      </c>
      <c r="B100" t="s">
        <v>120</v>
      </c>
      <c r="C100" t="s">
        <v>288</v>
      </c>
      <c r="D100" s="1" t="s">
        <v>880</v>
      </c>
      <c r="E100" t="s">
        <v>870</v>
      </c>
    </row>
    <row r="101" spans="1:5" ht="28.8" x14ac:dyDescent="0.3">
      <c r="A101" s="3">
        <v>44507</v>
      </c>
      <c r="B101" t="s">
        <v>120</v>
      </c>
      <c r="C101" t="s">
        <v>288</v>
      </c>
      <c r="D101" s="1" t="s">
        <v>879</v>
      </c>
      <c r="E101" t="s">
        <v>878</v>
      </c>
    </row>
    <row r="102" spans="1:5" x14ac:dyDescent="0.3">
      <c r="A102" s="3">
        <v>44507</v>
      </c>
      <c r="B102" t="s">
        <v>120</v>
      </c>
      <c r="C102" t="s">
        <v>288</v>
      </c>
      <c r="D102" s="1" t="s">
        <v>871</v>
      </c>
      <c r="E102" t="s">
        <v>878</v>
      </c>
    </row>
    <row r="103" spans="1:5" x14ac:dyDescent="0.3">
      <c r="A103" s="3">
        <v>44507</v>
      </c>
      <c r="B103" t="s">
        <v>120</v>
      </c>
      <c r="C103" t="s">
        <v>288</v>
      </c>
      <c r="D103" s="1" t="s">
        <v>872</v>
      </c>
      <c r="E103" t="s">
        <v>878</v>
      </c>
    </row>
    <row r="104" spans="1:5" x14ac:dyDescent="0.3">
      <c r="A104" s="3">
        <v>44507</v>
      </c>
      <c r="B104" t="s">
        <v>120</v>
      </c>
      <c r="C104" t="s">
        <v>288</v>
      </c>
      <c r="D104" s="1" t="s">
        <v>873</v>
      </c>
      <c r="E104" t="s">
        <v>878</v>
      </c>
    </row>
    <row r="105" spans="1:5" x14ac:dyDescent="0.3">
      <c r="A105" s="3">
        <v>44507</v>
      </c>
      <c r="B105" t="s">
        <v>120</v>
      </c>
      <c r="C105" t="s">
        <v>288</v>
      </c>
      <c r="D105" s="1" t="s">
        <v>874</v>
      </c>
      <c r="E105" t="s">
        <v>878</v>
      </c>
    </row>
    <row r="106" spans="1:5" x14ac:dyDescent="0.3">
      <c r="A106" s="3">
        <v>44507</v>
      </c>
      <c r="B106" t="s">
        <v>120</v>
      </c>
      <c r="C106" t="s">
        <v>288</v>
      </c>
      <c r="D106" s="1" t="s">
        <v>875</v>
      </c>
      <c r="E106" t="s">
        <v>878</v>
      </c>
    </row>
    <row r="107" spans="1:5" x14ac:dyDescent="0.3">
      <c r="A107" s="3">
        <v>44507</v>
      </c>
      <c r="B107" t="s">
        <v>120</v>
      </c>
      <c r="C107" t="s">
        <v>288</v>
      </c>
      <c r="D107" s="1" t="s">
        <v>876</v>
      </c>
      <c r="E107" t="s">
        <v>878</v>
      </c>
    </row>
    <row r="108" spans="1:5" x14ac:dyDescent="0.3">
      <c r="A108" s="3">
        <v>44507</v>
      </c>
      <c r="B108" t="s">
        <v>120</v>
      </c>
      <c r="C108" t="s">
        <v>288</v>
      </c>
      <c r="D108" s="1" t="s">
        <v>877</v>
      </c>
      <c r="E108" t="s">
        <v>870</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defaultColWidth="11.44140625" defaultRowHeight="14.4" x14ac:dyDescent="0.3"/>
  <cols>
    <col min="1" max="1" width="16.33203125" customWidth="1"/>
    <col min="3" max="3" width="16.6640625" bestFit="1" customWidth="1"/>
  </cols>
  <sheetData>
    <row r="1" spans="1:3" x14ac:dyDescent="0.3">
      <c r="A1" t="s">
        <v>392</v>
      </c>
      <c r="C1" t="s">
        <v>141</v>
      </c>
    </row>
    <row r="2" spans="1:3" x14ac:dyDescent="0.3">
      <c r="A2" t="s">
        <v>6</v>
      </c>
      <c r="C2" t="s">
        <v>142</v>
      </c>
    </row>
    <row r="3" spans="1:3" x14ac:dyDescent="0.3">
      <c r="A3" t="s">
        <v>388</v>
      </c>
      <c r="C3" t="s">
        <v>395</v>
      </c>
    </row>
    <row r="4" spans="1:3" x14ac:dyDescent="0.3">
      <c r="A4" t="s">
        <v>234</v>
      </c>
    </row>
    <row r="5" spans="1:3" x14ac:dyDescent="0.3">
      <c r="A5" t="s">
        <v>4</v>
      </c>
    </row>
    <row r="6" spans="1:3" x14ac:dyDescent="0.3">
      <c r="A6" t="s">
        <v>239</v>
      </c>
    </row>
    <row r="7" spans="1:3" x14ac:dyDescent="0.3">
      <c r="A7" t="s">
        <v>233</v>
      </c>
    </row>
    <row r="8" spans="1:3" x14ac:dyDescent="0.3">
      <c r="A8" t="s">
        <v>393</v>
      </c>
    </row>
    <row r="9" spans="1:3" x14ac:dyDescent="0.3">
      <c r="A9" t="s">
        <v>394</v>
      </c>
    </row>
    <row r="10" spans="1:3" x14ac:dyDescent="0.3">
      <c r="A10" t="s">
        <v>487</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Overview</vt:lpstr>
      <vt:lpstr>Tables</vt:lpstr>
      <vt:lpstr>Fields</vt:lpstr>
      <vt:lpstr>Types</vt:lpstr>
      <vt:lpstr>Tasks</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Techcompiler Datasystems</cp:lastModifiedBy>
  <dcterms:created xsi:type="dcterms:W3CDTF">2020-04-28T16:11:43Z</dcterms:created>
  <dcterms:modified xsi:type="dcterms:W3CDTF">2023-09-29T09:19:42Z</dcterms:modified>
</cp:coreProperties>
</file>